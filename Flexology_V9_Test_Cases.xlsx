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R" sheetId="1" state="visible" r:id="rId3"/>
    <sheet name="ADM" sheetId="2" state="visible" r:id="rId4"/>
    <sheet name="POS" sheetId="3" state="visible" r:id="rId5"/>
    <sheet name="SEC" sheetId="4" state="visible" r:id="rId6"/>
    <sheet name="PERF" sheetId="5" state="visible" r:id="rId7"/>
    <sheet name="Summary" sheetId="6" state="visible" r:id="rId8"/>
  </sheets>
  <definedNames>
    <definedName function="false" hidden="true" localSheetId="1" name="_xlnm._FilterDatabase" vbProcedure="false">ADM!$A$1:$I$1</definedName>
    <definedName function="false" hidden="true" localSheetId="4" name="_xlnm._FilterDatabase" vbProcedure="false">PERF!$A$1:$I$1</definedName>
    <definedName function="false" hidden="true" localSheetId="2" name="_xlnm._FilterDatabase" vbProcedure="false">POS!$A$1:$I$1</definedName>
    <definedName function="false" hidden="true" localSheetId="3" name="_xlnm._FilterDatabase" vbProcedure="false">SEC!$A$1:$I$1</definedName>
    <definedName function="false" hidden="true" localSheetId="0" name="_xlnm._FilterDatabase" vbProcedure="false">USR!$A$1:$I$1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<sst xmlns="http://schemas.openxmlformats.org/spreadsheetml/2006/main" count="847" uniqueCount="575">
  <si>
    <t xml:space="preserve">ID</t>
  </si>
  <si>
    <t xml:space="preserve">Category</t>
  </si>
  <si>
    <t xml:space="preserve">Title</t>
  </si>
  <si>
    <t xml:space="preserve">Steps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</si>
  <si>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</si>
  <si>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</si>
  <si>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</si>
  <si>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</si>
  <si>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Notes</t>
  </si>
  <si>
    <t xml:space="preserve">USR-001</t>
  </si>
  <si>
    <t xml:space="preserve">Homepage</t>
  </si>
  <si>
    <t xml:space="preserve">Load homepage</t>
  </si>
  <si>
    <t xml:space="preserve">Navigate to /</t>
  </si>
  <si>
    <t xml:space="preserve">Page loads with hero banner</t>
  </si>
  <si>
    <t xml:space="preserve">Loads with 11.9s FCP</t>
  </si>
  <si>
    <t xml:space="preserve">FAIL</t>
  </si>
  <si>
    <t xml:space="preserve">High</t>
  </si>
  <si>
    <t xml:space="preserve">FCP well above target</t>
  </si>
  <si>
    <t xml:space="preserve">USR-002</t>
  </si>
  <si>
    <t xml:space="preserve">Verify KPIs display</t>
  </si>
  <si>
    <t xml:space="preserve">View dashboard section</t>
  </si>
  <si>
    <t xml:space="preserve">All KPI cards visible</t>
  </si>
  <si>
    <t xml:space="preserve">KPI cards present and correct</t>
  </si>
  <si>
    <t xml:space="preserve">PASS</t>
  </si>
  <si>
    <t xml:space="preserve">Low</t>
  </si>
  <si>
    <t xml:space="preserve">USR-003</t>
  </si>
  <si>
    <t xml:space="preserve">Booking</t>
  </si>
  <si>
    <t xml:space="preserve">Start booking flow</t>
  </si>
  <si>
    <t xml:space="preserve">Click booking button</t>
  </si>
  <si>
    <t xml:space="preserve">Booking modal opens</t>
  </si>
  <si>
    <t xml:space="preserve">Modal opens successfully</t>
  </si>
  <si>
    <t xml:space="preserve">Medium</t>
  </si>
  <si>
    <t xml:space="preserve">USR-004</t>
  </si>
  <si>
    <t xml:space="preserve">Select service</t>
  </si>
  <si>
    <t xml:space="preserve">Click on service type</t>
  </si>
  <si>
    <t xml:space="preserve">Service selected</t>
  </si>
  <si>
    <t xml:space="preserve">Service selection working</t>
  </si>
  <si>
    <t xml:space="preserve">USR-005</t>
  </si>
  <si>
    <t xml:space="preserve">Select date/time</t>
  </si>
  <si>
    <t xml:space="preserve">Pick date and time</t>
  </si>
  <si>
    <t xml:space="preserve">Date/time populated</t>
  </si>
  <si>
    <t xml:space="preserve">Calendar working, selection saves</t>
  </si>
  <si>
    <t xml:space="preserve">USR-006</t>
  </si>
  <si>
    <t xml:space="preserve">Add customer info</t>
  </si>
  <si>
    <t xml:space="preserve">Enter name, email, phone</t>
  </si>
  <si>
    <t xml:space="preserve">Fields accept input</t>
  </si>
  <si>
    <t xml:space="preserve">All fields accept input correctly</t>
  </si>
  <si>
    <t xml:space="preserve">USR-007</t>
  </si>
  <si>
    <t xml:space="preserve">Confirm booking</t>
  </si>
  <si>
    <t xml:space="preserve">Click confirm button</t>
  </si>
  <si>
    <t xml:space="preserve">Booking confirmed with checkmark</t>
  </si>
  <si>
    <t xml:space="preserve">Checkmark appears, visual feedback clear</t>
  </si>
  <si>
    <t xml:space="preserve">V9 fixed visual feedback</t>
  </si>
  <si>
    <t xml:space="preserve">USR-008</t>
  </si>
  <si>
    <t xml:space="preserve">Login</t>
  </si>
  <si>
    <t xml:space="preserve">Access login page</t>
  </si>
  <si>
    <t xml:space="preserve">Navigate to /login</t>
  </si>
  <si>
    <t xml:space="preserve">Login form displays</t>
  </si>
  <si>
    <t xml:space="preserve">Form displays correctly</t>
  </si>
  <si>
    <t xml:space="preserve">USR-009</t>
  </si>
  <si>
    <t xml:space="preserve">Enter valid credentials</t>
  </si>
  <si>
    <t xml:space="preserve">Phone: valid, Password: valid</t>
  </si>
  <si>
    <t xml:space="preserve">Login succeeds</t>
  </si>
  <si>
    <t xml:space="preserve">Login fails with crash</t>
  </si>
  <si>
    <t xml:space="preserve">Critical</t>
  </si>
  <si>
    <t xml:space="preserve">Server crash with valid creds</t>
  </si>
  <si>
    <t xml:space="preserve">USR-010</t>
  </si>
  <si>
    <t xml:space="preserve">Try blocked credentials</t>
  </si>
  <si>
    <t xml:space="preserve">Phone: 0000, Password: admin</t>
  </si>
  <si>
    <t xml:space="preserve">Clean error message</t>
  </si>
  <si>
    <t xml:space="preserve">Server crashes, infinite spinner</t>
  </si>
  <si>
    <t xml:space="preserve">Invalid error handling</t>
  </si>
  <si>
    <t xml:space="preserve">USR-011</t>
  </si>
  <si>
    <t xml:space="preserve">Password visibility toggle</t>
  </si>
  <si>
    <t xml:space="preserve">Click eye icon</t>
  </si>
  <si>
    <t xml:space="preserve">Password visibility toggles</t>
  </si>
  <si>
    <t xml:space="preserve">Eye icon working</t>
  </si>
  <si>
    <t xml:space="preserve">V9 fixed toggle</t>
  </si>
  <si>
    <t xml:space="preserve">USR-012</t>
  </si>
  <si>
    <t xml:space="preserve">Registration</t>
  </si>
  <si>
    <t xml:space="preserve">Access register page</t>
  </si>
  <si>
    <t xml:space="preserve">Navigate to /register</t>
  </si>
  <si>
    <t xml:space="preserve">Form displays</t>
  </si>
  <si>
    <t xml:space="preserve">Form loads correctly</t>
  </si>
  <si>
    <t xml:space="preserve">USR-013</t>
  </si>
  <si>
    <t xml:space="preserve">Enter registration data</t>
  </si>
  <si>
    <t xml:space="preserve">Fill all fields</t>
  </si>
  <si>
    <t xml:space="preserve">All fields working</t>
  </si>
  <si>
    <t xml:space="preserve">USR-014</t>
  </si>
  <si>
    <t xml:space="preserve">Submit registration</t>
  </si>
  <si>
    <t xml:space="preserve">Click register button</t>
  </si>
  <si>
    <t xml:space="preserve">Account created successfully</t>
  </si>
  <si>
    <t xml:space="preserve">Server crashes on sanitization</t>
  </si>
  <si>
    <t xml:space="preserve">XSS sanitizer error handling</t>
  </si>
  <si>
    <t xml:space="preserve">USR-015</t>
  </si>
  <si>
    <t xml:space="preserve">Services</t>
  </si>
  <si>
    <t xml:space="preserve">View services page</t>
  </si>
  <si>
    <t xml:space="preserve">Navigate to /services</t>
  </si>
  <si>
    <t xml:space="preserve">Service list displays</t>
  </si>
  <si>
    <t xml:space="preserve">Page loads slowly (675ms TTFB)</t>
  </si>
  <si>
    <t xml:space="preserve">Slow load time</t>
  </si>
  <si>
    <t xml:space="preserve">USR-016</t>
  </si>
  <si>
    <t xml:space="preserve">Filter services</t>
  </si>
  <si>
    <t xml:space="preserve">Select service category</t>
  </si>
  <si>
    <t xml:space="preserve">Results filtered</t>
  </si>
  <si>
    <t xml:space="preserve">Filtering works correctly</t>
  </si>
  <si>
    <t xml:space="preserve">USR-017</t>
  </si>
  <si>
    <t xml:space="preserve">Rewards</t>
  </si>
  <si>
    <t xml:space="preserve">Access rewards page</t>
  </si>
  <si>
    <t xml:space="preserve">Navigate to /rewards</t>
  </si>
  <si>
    <t xml:space="preserve">Rewards dashboard loads</t>
  </si>
  <si>
    <t xml:space="preserve">Redirects to homepage</t>
  </si>
  <si>
    <t xml:space="preserve">Rewards page not implemented</t>
  </si>
  <si>
    <t xml:space="preserve">USR-018</t>
  </si>
  <si>
    <t xml:space="preserve">View rewards balance</t>
  </si>
  <si>
    <t xml:space="preserve">View points/credits</t>
  </si>
  <si>
    <t xml:space="preserve">Balance displays</t>
  </si>
  <si>
    <t xml:space="preserve">Cannot access page</t>
  </si>
  <si>
    <t xml:space="preserve">BLOCKED</t>
  </si>
  <si>
    <t xml:space="preserve">Page redirect blocks access</t>
  </si>
  <si>
    <t xml:space="preserve">USR-019</t>
  </si>
  <si>
    <t xml:space="preserve">Profile</t>
  </si>
  <si>
    <t xml:space="preserve">Access profile page</t>
  </si>
  <si>
    <t xml:space="preserve">Navigate to /profile</t>
  </si>
  <si>
    <t xml:space="preserve">Profile form displays</t>
  </si>
  <si>
    <t xml:space="preserve">Returns 500 error</t>
  </si>
  <si>
    <t xml:space="preserve">Server component error</t>
  </si>
  <si>
    <t xml:space="preserve">USR-020</t>
  </si>
  <si>
    <t xml:space="preserve">Edit profile info</t>
  </si>
  <si>
    <t xml:space="preserve">Update name/email</t>
  </si>
  <si>
    <t xml:space="preserve">Changes save</t>
  </si>
  <si>
    <t xml:space="preserve">Server error blocks access</t>
  </si>
  <si>
    <t xml:space="preserve">USR-021</t>
  </si>
  <si>
    <t xml:space="preserve">Currency</t>
  </si>
  <si>
    <t xml:space="preserve">Verify booking currency</t>
  </si>
  <si>
    <t xml:space="preserve">Complete booking</t>
  </si>
  <si>
    <t xml:space="preserve">Rp format correct</t>
  </si>
  <si>
    <t xml:space="preserve">Rp 475.000 displays correctly</t>
  </si>
  <si>
    <t xml:space="preserve">USR-022</t>
  </si>
  <si>
    <t xml:space="preserve">Verify KPI currency</t>
  </si>
  <si>
    <t xml:space="preserve">View KPI dashboard</t>
  </si>
  <si>
    <t xml:space="preserve">Rp format for large numbers</t>
  </si>
  <si>
    <t xml:space="preserve">Shows 4,00 for integers</t>
  </si>
  <si>
    <t xml:space="preserve">Integer formatting bug</t>
  </si>
  <si>
    <t xml:space="preserve">USR-023</t>
  </si>
  <si>
    <t xml:space="preserve">XSS Prevention</t>
  </si>
  <si>
    <t xml:space="preserve">Test XSS in input field</t>
  </si>
  <si>
    <t xml:space="preserve">Enter &lt;script&gt;alert(1)&lt;/script&gt;</t>
  </si>
  <si>
    <t xml:space="preserve">Input sanitized or rejected</t>
  </si>
  <si>
    <t xml:space="preserve">Server crashes on XSS</t>
  </si>
  <si>
    <t xml:space="preserve">Missing error handling</t>
  </si>
  <si>
    <t xml:space="preserve">USR-024</t>
  </si>
  <si>
    <t xml:space="preserve">Session</t>
  </si>
  <si>
    <t xml:space="preserve">Login and check session</t>
  </si>
  <si>
    <t xml:space="preserve">Login and verify cookie</t>
  </si>
  <si>
    <t xml:space="preserve">flex_session cookie set</t>
  </si>
  <si>
    <t xml:space="preserve">Cookie set correctly</t>
  </si>
  <si>
    <t xml:space="preserve">HttpOnly flag present</t>
  </si>
  <si>
    <t xml:space="preserve">USR-025</t>
  </si>
  <si>
    <t xml:space="preserve">Security Headers</t>
  </si>
  <si>
    <t xml:space="preserve">Verify security headers</t>
  </si>
  <si>
    <t xml:space="preserve">Check response headers</t>
  </si>
  <si>
    <t xml:space="preserve">All 6 headers present</t>
  </si>
  <si>
    <t xml:space="preserve">All headers present</t>
  </si>
  <si>
    <t xml:space="preserve">V9 fixed all headers</t>
  </si>
  <si>
    <t xml:space="preserve">ADM-001</t>
  </si>
  <si>
    <t xml:space="preserve">Admin Dashboard</t>
  </si>
  <si>
    <t xml:space="preserve">Access admin</t>
  </si>
  <si>
    <t xml:space="preserve">Navigate to /admin</t>
  </si>
  <si>
    <t xml:space="preserve">Admin dashboard loads with auth check</t>
  </si>
  <si>
    <t xml:space="preserve">Admin loads WITHOUT login</t>
  </si>
  <si>
    <t xml:space="preserve">Auth middleware broken</t>
  </si>
  <si>
    <t xml:space="preserve">ADM-002</t>
  </si>
  <si>
    <t xml:space="preserve">Verify KPI section</t>
  </si>
  <si>
    <t xml:space="preserve">View dashboard KPIs</t>
  </si>
  <si>
    <t xml:space="preserve">All KPIs display</t>
  </si>
  <si>
    <t xml:space="preserve">Cannot verify - auth issue</t>
  </si>
  <si>
    <t xml:space="preserve">Blocked by ADM-001</t>
  </si>
  <si>
    <t xml:space="preserve">ADM-003</t>
  </si>
  <si>
    <t xml:space="preserve">Sidebar Nav</t>
  </si>
  <si>
    <t xml:space="preserve">Check sidebar menu</t>
  </si>
  <si>
    <t xml:space="preserve">Observe left sidebar</t>
  </si>
  <si>
    <t xml:space="preserve">All menu items present</t>
  </si>
  <si>
    <t xml:space="preserve">POS link present (was missing)</t>
  </si>
  <si>
    <t xml:space="preserve">V9 added POS link</t>
  </si>
  <si>
    <t xml:space="preserve">ADM-004</t>
  </si>
  <si>
    <t xml:space="preserve">Navigate to Schedule</t>
  </si>
  <si>
    <t xml:space="preserve">Click Schedule menu</t>
  </si>
  <si>
    <t xml:space="preserve">Schedule page loads</t>
  </si>
  <si>
    <t xml:space="preserve">Page loads but slow (860ms TTFB)</t>
  </si>
  <si>
    <t xml:space="preserve">Performance issue</t>
  </si>
  <si>
    <t xml:space="preserve">ADM-005</t>
  </si>
  <si>
    <t xml:space="preserve">Schedule</t>
  </si>
  <si>
    <t xml:space="preserve">View appointments</t>
  </si>
  <si>
    <t xml:space="preserve">Navigate to /admin/schedule</t>
  </si>
  <si>
    <t xml:space="preserve">Schedule grid displays</t>
  </si>
  <si>
    <t xml:space="preserve">Loads with heavy JS (15MB)</t>
  </si>
  <si>
    <t xml:space="preserve">Large bundle size</t>
  </si>
  <si>
    <t xml:space="preserve">ADM-006</t>
  </si>
  <si>
    <t xml:space="preserve">Staff</t>
  </si>
  <si>
    <t xml:space="preserve">Access staff page</t>
  </si>
  <si>
    <t xml:space="preserve">Navigate to /admin/staff</t>
  </si>
  <si>
    <t xml:space="preserve">Staff list displays</t>
  </si>
  <si>
    <t xml:space="preserve">ADM-007</t>
  </si>
  <si>
    <t xml:space="preserve">Add new staff</t>
  </si>
  <si>
    <t xml:space="preserve">Click add staff button</t>
  </si>
  <si>
    <t xml:space="preserve">Form opens</t>
  </si>
  <si>
    <t xml:space="preserve">Page crashes</t>
  </si>
  <si>
    <t xml:space="preserve">ADM-008</t>
  </si>
  <si>
    <t xml:space="preserve">Outlets</t>
  </si>
  <si>
    <t xml:space="preserve">Access outlets page</t>
  </si>
  <si>
    <t xml:space="preserve">Navigate to /admin/outlets</t>
  </si>
  <si>
    <t xml:space="preserve">Outlets list displays</t>
  </si>
  <si>
    <t xml:space="preserve">ADM-009</t>
  </si>
  <si>
    <t xml:space="preserve">Settings</t>
  </si>
  <si>
    <t xml:space="preserve">Access settings page</t>
  </si>
  <si>
    <t xml:space="preserve">Navigate to /admin/settings</t>
  </si>
  <si>
    <t xml:space="preserve">Settings form displays</t>
  </si>
  <si>
    <t xml:space="preserve">ADM-010</t>
  </si>
  <si>
    <t xml:space="preserve">POS</t>
  </si>
  <si>
    <t xml:space="preserve">Access POS module</t>
  </si>
  <si>
    <t xml:space="preserve">Click POS in sidebar</t>
  </si>
  <si>
    <t xml:space="preserve">POS dashboard loads</t>
  </si>
  <si>
    <t xml:space="preserve">Shows placeholder only</t>
  </si>
  <si>
    <t xml:space="preserve">Module not implemented</t>
  </si>
  <si>
    <t xml:space="preserve">ADM-011</t>
  </si>
  <si>
    <t xml:space="preserve">Verify POS features</t>
  </si>
  <si>
    <t xml:space="preserve">Check available features</t>
  </si>
  <si>
    <t xml:space="preserve">Full POS functionality</t>
  </si>
  <si>
    <t xml:space="preserve">Placeholder page only</t>
  </si>
  <si>
    <t xml:space="preserve">Not yet built</t>
  </si>
  <si>
    <t xml:space="preserve">ADM-012</t>
  </si>
  <si>
    <t xml:space="preserve">Auth</t>
  </si>
  <si>
    <t xml:space="preserve">Sign out from admin</t>
  </si>
  <si>
    <t xml:space="preserve">Click logout button</t>
  </si>
  <si>
    <t xml:space="preserve">Redirects to login</t>
  </si>
  <si>
    <t xml:space="preserve">Session ends correctly</t>
  </si>
  <si>
    <t xml:space="preserve">ADM-013</t>
  </si>
  <si>
    <t xml:space="preserve">KPI Data</t>
  </si>
  <si>
    <t xml:space="preserve">Verify revenue KPI</t>
  </si>
  <si>
    <t xml:space="preserve">View revenue total</t>
  </si>
  <si>
    <t xml:space="preserve">Rp 475.000 correct</t>
  </si>
  <si>
    <t xml:space="preserve">Matches leaderboard sum</t>
  </si>
  <si>
    <t xml:space="preserve">V9 fixed data</t>
  </si>
  <si>
    <t xml:space="preserve">ADM-014</t>
  </si>
  <si>
    <t xml:space="preserve">Check menu item states</t>
  </si>
  <si>
    <t xml:space="preserve">Click different menu items</t>
  </si>
  <si>
    <t xml:space="preserve">Active state indicated</t>
  </si>
  <si>
    <t xml:space="preserve">Active states working</t>
  </si>
  <si>
    <t xml:space="preserve">ADM-015</t>
  </si>
  <si>
    <t xml:space="preserve">Admin Permissions</t>
  </si>
  <si>
    <t xml:space="preserve">Test access control</t>
  </si>
  <si>
    <t xml:space="preserve">Try forbidden endpoints</t>
  </si>
  <si>
    <t xml:space="preserve">403 or redirect</t>
  </si>
  <si>
    <t xml:space="preserve">Cannot test - auth broken</t>
  </si>
  <si>
    <t xml:space="preserve">ADM-001 blocks testing</t>
  </si>
  <si>
    <t xml:space="preserve">ADM-016</t>
  </si>
  <si>
    <t xml:space="preserve">Session Management</t>
  </si>
  <si>
    <t xml:space="preserve">Check session persistence</t>
  </si>
  <si>
    <t xml:space="preserve">Refresh admin page</t>
  </si>
  <si>
    <t xml:space="preserve">Session maintained</t>
  </si>
  <si>
    <t xml:space="preserve">Cannot maintain - auth broken</t>
  </si>
  <si>
    <t xml:space="preserve">Related to ADM-001</t>
  </si>
  <si>
    <t xml:space="preserve">ADM-017</t>
  </si>
  <si>
    <t xml:space="preserve">Error Handling</t>
  </si>
  <si>
    <t xml:space="preserve">Trigger server error</t>
  </si>
  <si>
    <t xml:space="preserve">Access /admin/staff</t>
  </si>
  <si>
    <t xml:space="preserve">Raw 500 error displayed</t>
  </si>
  <si>
    <t xml:space="preserve">Missing error boundaries</t>
  </si>
  <si>
    <t xml:space="preserve">ADM-018</t>
  </si>
  <si>
    <t xml:space="preserve">Performance</t>
  </si>
  <si>
    <t xml:space="preserve">Measure admin load time</t>
  </si>
  <si>
    <t xml:space="preserve">Load /admin</t>
  </si>
  <si>
    <t xml:space="preserve">TTFB &lt; 800ms</t>
  </si>
  <si>
    <t xml:space="preserve">TTFB 1363ms</t>
  </si>
  <si>
    <t xml:space="preserve">Performance degradation</t>
  </si>
  <si>
    <t xml:space="preserve">ADM-019</t>
  </si>
  <si>
    <t xml:space="preserve">Data Accuracy</t>
  </si>
  <si>
    <t xml:space="preserve">Verify all KPI calculations</t>
  </si>
  <si>
    <t xml:space="preserve">Cross-check KPI values</t>
  </si>
  <si>
    <t xml:space="preserve">All values correct</t>
  </si>
  <si>
    <t xml:space="preserve">Revenue KPI verified correct</t>
  </si>
  <si>
    <t xml:space="preserve">ADM-020</t>
  </si>
  <si>
    <t xml:space="preserve">Version Display</t>
  </si>
  <si>
    <t xml:space="preserve">Check version info</t>
  </si>
  <si>
    <t xml:space="preserve">View version in admin</t>
  </si>
  <si>
    <t xml:space="preserve">v0.9.3 displayed</t>
  </si>
  <si>
    <t xml:space="preserve">Shows v0.9.1 instead</t>
  </si>
  <si>
    <t xml:space="preserve">Build pipeline mismatch</t>
  </si>
  <si>
    <t xml:space="preserve">POS-001</t>
  </si>
  <si>
    <t xml:space="preserve">POS Access</t>
  </si>
  <si>
    <t xml:space="preserve">Navigate to POS</t>
  </si>
  <si>
    <t xml:space="preserve">Click POS menu item</t>
  </si>
  <si>
    <t xml:space="preserve">Placeholder page displays</t>
  </si>
  <si>
    <t xml:space="preserve">POS-002</t>
  </si>
  <si>
    <t xml:space="preserve">POS Navigation</t>
  </si>
  <si>
    <t xml:space="preserve">Access POS from sidebar</t>
  </si>
  <si>
    <t xml:space="preserve">Click POS link in nav</t>
  </si>
  <si>
    <t xml:space="preserve">Module loads</t>
  </si>
  <si>
    <t xml:space="preserve">Placeholder loads</t>
  </si>
  <si>
    <t xml:space="preserve">Navigation works, content pending</t>
  </si>
  <si>
    <t xml:space="preserve">POS-003</t>
  </si>
  <si>
    <t xml:space="preserve">POS Placeholder</t>
  </si>
  <si>
    <t xml:space="preserve">Verify placeholder</t>
  </si>
  <si>
    <t xml:space="preserve">Load POS page</t>
  </si>
  <si>
    <t xml:space="preserve">Placeholder indicates future module</t>
  </si>
  <si>
    <t xml:space="preserve">Placeholder present</t>
  </si>
  <si>
    <t xml:space="preserve">As expected in V9</t>
  </si>
  <si>
    <t xml:space="preserve">POS-004</t>
  </si>
  <si>
    <t xml:space="preserve">Future Feature</t>
  </si>
  <si>
    <t xml:space="preserve">Check planned features</t>
  </si>
  <si>
    <t xml:space="preserve">Review POS roadmap</t>
  </si>
  <si>
    <t xml:space="preserve">Feature list documented</t>
  </si>
  <si>
    <t xml:space="preserve">No roadmap visible</t>
  </si>
  <si>
    <t xml:space="preserve">Module in planning</t>
  </si>
  <si>
    <t xml:space="preserve">POS-005</t>
  </si>
  <si>
    <t xml:space="preserve">POS Routing</t>
  </si>
  <si>
    <t xml:space="preserve">Test POS URL</t>
  </si>
  <si>
    <t xml:space="preserve">Navigate to /pos</t>
  </si>
  <si>
    <t xml:space="preserve">POS module loads</t>
  </si>
  <si>
    <t xml:space="preserve">Module route works</t>
  </si>
  <si>
    <t xml:space="preserve">POS-006</t>
  </si>
  <si>
    <t xml:space="preserve">Module Status</t>
  </si>
  <si>
    <t xml:space="preserve">Verify dev status</t>
  </si>
  <si>
    <t xml:space="preserve">Check logs/console</t>
  </si>
  <si>
    <t xml:space="preserve">No errors logged</t>
  </si>
  <si>
    <t xml:space="preserve">Cannot verify - placeholder only</t>
  </si>
  <si>
    <t xml:space="preserve">Awaiting implementation</t>
  </si>
  <si>
    <t xml:space="preserve">POS-007</t>
  </si>
  <si>
    <t xml:space="preserve">Sidebar Link</t>
  </si>
  <si>
    <t xml:space="preserve">Verify POS link exists</t>
  </si>
  <si>
    <t xml:space="preserve">POS item visible</t>
  </si>
  <si>
    <t xml:space="preserve">Link present and working</t>
  </si>
  <si>
    <t xml:space="preserve">POS-008</t>
  </si>
  <si>
    <t xml:space="preserve">Link Navigation</t>
  </si>
  <si>
    <t xml:space="preserve">Test POS link click</t>
  </si>
  <si>
    <t xml:space="preserve">Navigates to POS</t>
  </si>
  <si>
    <t xml:space="preserve">Navigation works correctly</t>
  </si>
  <si>
    <t xml:space="preserve">POS-009</t>
  </si>
  <si>
    <t xml:space="preserve">Module Styling</t>
  </si>
  <si>
    <t xml:space="preserve">Verify UI consistency</t>
  </si>
  <si>
    <t xml:space="preserve">Check POS placeholder style</t>
  </si>
  <si>
    <t xml:space="preserve">Matches app design</t>
  </si>
  <si>
    <t xml:space="preserve">Placeholder styled correctly</t>
  </si>
  <si>
    <t xml:space="preserve">POS-010</t>
  </si>
  <si>
    <t xml:space="preserve">Future Implementation</t>
  </si>
  <si>
    <t xml:space="preserve">Document build plan</t>
  </si>
  <si>
    <t xml:space="preserve">Add to roadmap</t>
  </si>
  <si>
    <t xml:space="preserve">POS planned for Phase 3+</t>
  </si>
  <si>
    <t xml:space="preserve">Placeholder ready for build</t>
  </si>
  <si>
    <t xml:space="preserve">Low priority</t>
  </si>
  <si>
    <t xml:space="preserve">SEC-T01</t>
  </si>
  <si>
    <t xml:space="preserve">Verify CSP header</t>
  </si>
  <si>
    <t xml:space="preserve">Inspect response headers</t>
  </si>
  <si>
    <t xml:space="preserve">Content-Security-Policy present</t>
  </si>
  <si>
    <t xml:space="preserve">Header present</t>
  </si>
  <si>
    <t xml:space="preserve">SEC-T02</t>
  </si>
  <si>
    <t xml:space="preserve">Verify XFO header</t>
  </si>
  <si>
    <t xml:space="preserve">Check X-Frame-Options</t>
  </si>
  <si>
    <t xml:space="preserve">Header set to DENY or SAMEORIGIN</t>
  </si>
  <si>
    <t xml:space="preserve">Header present and correct</t>
  </si>
  <si>
    <t xml:space="preserve">SEC-T03</t>
  </si>
  <si>
    <t xml:space="preserve">Verify HSTS header</t>
  </si>
  <si>
    <t xml:space="preserve">Check Strict-Transport-Security</t>
  </si>
  <si>
    <t xml:space="preserve">Header with max-age present</t>
  </si>
  <si>
    <t xml:space="preserve">SEC-T04</t>
  </si>
  <si>
    <t xml:space="preserve">Check complete header list</t>
  </si>
  <si>
    <t xml:space="preserve">CSP, XFO, XCTO, RP, PP, HSTS</t>
  </si>
  <si>
    <t xml:space="preserve">All 6 headers verified</t>
  </si>
  <si>
    <t xml:space="preserve">SEC-T05</t>
  </si>
  <si>
    <t xml:space="preserve">XSS Protection</t>
  </si>
  <si>
    <t xml:space="preserve">Test XSS in form field</t>
  </si>
  <si>
    <t xml:space="preserve">Input: &lt;script&gt;alert(1)&lt;/script&gt;</t>
  </si>
  <si>
    <t xml:space="preserve">Input rejected or sanitized</t>
  </si>
  <si>
    <t xml:space="preserve">Server crashes</t>
  </si>
  <si>
    <t xml:space="preserve">No error handling</t>
  </si>
  <si>
    <t xml:space="preserve">SEC-T06</t>
  </si>
  <si>
    <t xml:space="preserve">Test HTML injection</t>
  </si>
  <si>
    <t xml:space="preserve">Input: &lt;img src=x onerror=alert(1)&gt;</t>
  </si>
  <si>
    <t xml:space="preserve">Sanitized output</t>
  </si>
  <si>
    <t xml:space="preserve">Server crashes before sanitization</t>
  </si>
  <si>
    <t xml:space="preserve">Error boundary missing</t>
  </si>
  <si>
    <t xml:space="preserve">SEC-T07</t>
  </si>
  <si>
    <t xml:space="preserve">Authentication</t>
  </si>
  <si>
    <t xml:space="preserve">Test login with valid creds</t>
  </si>
  <si>
    <t xml:space="preserve">Login middleware broken</t>
  </si>
  <si>
    <t xml:space="preserve">SEC-T08</t>
  </si>
  <si>
    <t xml:space="preserve">Test login with invalid creds</t>
  </si>
  <si>
    <t xml:space="preserve">Phone: wrong, Password: wrong</t>
  </si>
  <si>
    <t xml:space="preserve">Error handling broken</t>
  </si>
  <si>
    <t xml:space="preserve">SEC-T09</t>
  </si>
  <si>
    <t xml:space="preserve">Auth Bypass</t>
  </si>
  <si>
    <t xml:space="preserve">Direct URL to admin</t>
  </si>
  <si>
    <t xml:space="preserve">Navigate to /admin without login</t>
  </si>
  <si>
    <t xml:space="preserve">403 or redirect to login</t>
  </si>
  <si>
    <t xml:space="preserve">Admin page loads - NO AUTH</t>
  </si>
  <si>
    <t xml:space="preserve">Middleware misconfigured</t>
  </si>
  <si>
    <t xml:space="preserve">SEC-T10</t>
  </si>
  <si>
    <t xml:space="preserve">Session Fixation</t>
  </si>
  <si>
    <t xml:space="preserve">Check session cookie</t>
  </si>
  <si>
    <t xml:space="preserve">Login and inspect cookie</t>
  </si>
  <si>
    <t xml:space="preserve">flex_session with HttpOnly flag</t>
  </si>
  <si>
    <t xml:space="preserve">SEC-T11</t>
  </si>
  <si>
    <t xml:space="preserve">CSRF Protection</t>
  </si>
  <si>
    <t xml:space="preserve">Test form submission</t>
  </si>
  <si>
    <t xml:space="preserve">Submit form without token</t>
  </si>
  <si>
    <t xml:space="preserve">Request rejected</t>
  </si>
  <si>
    <t xml:space="preserve">Uses Server Actions (CSRF safe)</t>
  </si>
  <si>
    <t xml:space="preserve">SEC-T12</t>
  </si>
  <si>
    <t xml:space="preserve">Rate Limiting</t>
  </si>
  <si>
    <t xml:space="preserve">Test multiple login attempts</t>
  </si>
  <si>
    <t xml:space="preserve">Submit 10+ failed logins</t>
  </si>
  <si>
    <t xml:space="preserve">IP rate limited</t>
  </si>
  <si>
    <t xml:space="preserve">Cannot test - login crashes</t>
  </si>
  <si>
    <t xml:space="preserve">Crash blocks verification</t>
  </si>
  <si>
    <t xml:space="preserve">SEC-T13</t>
  </si>
  <si>
    <t xml:space="preserve">Credentials in URL</t>
  </si>
  <si>
    <t xml:space="preserve">Check login redirect</t>
  </si>
  <si>
    <t xml:space="preserve">Login and inspect URL</t>
  </si>
  <si>
    <t xml:space="preserve">No credentials in query</t>
  </si>
  <si>
    <t xml:space="preserve">URL shows ?phone=X&amp;password=Y</t>
  </si>
  <si>
    <t xml:space="preserve">GET method used</t>
  </si>
  <si>
    <t xml:space="preserve">SEC-T14</t>
  </si>
  <si>
    <t xml:space="preserve">Error Messages</t>
  </si>
  <si>
    <t xml:space="preserve">Trigger 500 error</t>
  </si>
  <si>
    <t xml:space="preserve">Generic error message</t>
  </si>
  <si>
    <t xml:space="preserve">Raw server error displayed</t>
  </si>
  <si>
    <t xml:space="preserve">Info disclosure</t>
  </si>
  <si>
    <t xml:space="preserve">SEC-T15</t>
  </si>
  <si>
    <t xml:space="preserve">SQL Injection</t>
  </si>
  <si>
    <t xml:space="preserve">Test SQLi in input</t>
  </si>
  <si>
    <t xml:space="preserve">Input: 1' OR '1'='1</t>
  </si>
  <si>
    <t xml:space="preserve">Input safely escaped</t>
  </si>
  <si>
    <t xml:space="preserve">Database query handling unknown</t>
  </si>
  <si>
    <t xml:space="preserve">Cannot verify</t>
  </si>
  <si>
    <t xml:space="preserve">SEC-T16</t>
  </si>
  <si>
    <t xml:space="preserve">Input Validation</t>
  </si>
  <si>
    <t xml:space="preserve">Test field length limits</t>
  </si>
  <si>
    <t xml:space="preserve">Submit oversized input</t>
  </si>
  <si>
    <t xml:space="preserve">Input truncated or rejected</t>
  </si>
  <si>
    <t xml:space="preserve">Validation working</t>
  </si>
  <si>
    <t xml:space="preserve">SEC-T17</t>
  </si>
  <si>
    <t xml:space="preserve">Password Security</t>
  </si>
  <si>
    <t xml:space="preserve">Check password hashing</t>
  </si>
  <si>
    <t xml:space="preserve">Inspect stored password</t>
  </si>
  <si>
    <t xml:space="preserve">Hashed with salt</t>
  </si>
  <si>
    <t xml:space="preserve">Cannot inspect backend</t>
  </si>
  <si>
    <t xml:space="preserve">Backend verification needed</t>
  </si>
  <si>
    <t xml:space="preserve">SEC-T18</t>
  </si>
  <si>
    <t xml:space="preserve">Logout Functionality</t>
  </si>
  <si>
    <t xml:space="preserve">Test session cleanup</t>
  </si>
  <si>
    <t xml:space="preserve">Logout and try admin access</t>
  </si>
  <si>
    <t xml:space="preserve">Session invalidated</t>
  </si>
  <si>
    <t xml:space="preserve">SEC-T19</t>
  </si>
  <si>
    <t xml:space="preserve">Cookie Security</t>
  </si>
  <si>
    <t xml:space="preserve">Verify cookie flags</t>
  </si>
  <si>
    <t xml:space="preserve">Inspect flex_session cookie</t>
  </si>
  <si>
    <t xml:space="preserve">HttpOnly and Secure flags set</t>
  </si>
  <si>
    <t xml:space="preserve">HttpOnly present, Secure TBD</t>
  </si>
  <si>
    <t xml:space="preserve">SEC-T20</t>
  </si>
  <si>
    <t xml:space="preserve">Sensitive Data</t>
  </si>
  <si>
    <t xml:space="preserve">Check data exposure</t>
  </si>
  <si>
    <t xml:space="preserve">Monitor network requests</t>
  </si>
  <si>
    <t xml:space="preserve">No credentials/tokens in transit</t>
  </si>
  <si>
    <t xml:space="preserve">URL-based credentials exposed</t>
  </si>
  <si>
    <t xml:space="preserve">SEC-T13 confirms issue</t>
  </si>
  <si>
    <t xml:space="preserve">PERF-001</t>
  </si>
  <si>
    <t xml:space="preserve">FCP</t>
  </si>
  <si>
    <t xml:space="preserve">Homepage FCP target</t>
  </si>
  <si>
    <t xml:space="preserve">FCP &lt; 1800ms</t>
  </si>
  <si>
    <t xml:space="preserve">FCP 11868ms</t>
  </si>
  <si>
    <t xml:space="preserve">6.6x above target</t>
  </si>
  <si>
    <t xml:space="preserve">PERF-002</t>
  </si>
  <si>
    <t xml:space="preserve">Booking page FCP</t>
  </si>
  <si>
    <t xml:space="preserve">Load /book</t>
  </si>
  <si>
    <t xml:space="preserve">FCP not measured</t>
  </si>
  <si>
    <t xml:space="preserve">Not measured in V9</t>
  </si>
  <si>
    <t xml:space="preserve">PERF-003</t>
  </si>
  <si>
    <t xml:space="preserve">TTFB</t>
  </si>
  <si>
    <t xml:space="preserve">Homepage TTFB target</t>
  </si>
  <si>
    <t xml:space="preserve">Check response time</t>
  </si>
  <si>
    <t xml:space="preserve">TTFB &lt; 600ms</t>
  </si>
  <si>
    <t xml:space="preserve">TTFB 302-3631ms</t>
  </si>
  <si>
    <t xml:space="preserve">Inconsistent - needs investigation</t>
  </si>
  <si>
    <t xml:space="preserve">PERF-004</t>
  </si>
  <si>
    <t xml:space="preserve">Admin Dashboard TTFB</t>
  </si>
  <si>
    <t xml:space="preserve">1.7x above acceptable</t>
  </si>
  <si>
    <t xml:space="preserve">PERF-005</t>
  </si>
  <si>
    <t xml:space="preserve">Load Time</t>
  </si>
  <si>
    <t xml:space="preserve">Services page load</t>
  </si>
  <si>
    <t xml:space="preserve">Load /services</t>
  </si>
  <si>
    <t xml:space="preserve">Total load &lt; 999ms</t>
  </si>
  <si>
    <t xml:space="preserve">Load complete 999ms</t>
  </si>
  <si>
    <t xml:space="preserve">At threshold</t>
  </si>
  <si>
    <t xml:space="preserve">PERF-006</t>
  </si>
  <si>
    <t xml:space="preserve">Schedule page load</t>
  </si>
  <si>
    <t xml:space="preserve">Load /admin/schedule</t>
  </si>
  <si>
    <t xml:space="preserve">Total load &lt; 1.5s</t>
  </si>
  <si>
    <t xml:space="preserve">Load complete 1271ms</t>
  </si>
  <si>
    <t xml:space="preserve">Within limits</t>
  </si>
  <si>
    <t xml:space="preserve">PERF-007</t>
  </si>
  <si>
    <t xml:space="preserve">JS Bundle</t>
  </si>
  <si>
    <t xml:space="preserve">Admin schedule JS size</t>
  </si>
  <si>
    <t xml:space="preserve">Check /admin/schedule</t>
  </si>
  <si>
    <t xml:space="preserve">JS &lt; 3MB</t>
  </si>
  <si>
    <t xml:space="preserve">JS 15MB</t>
  </si>
  <si>
    <t xml:space="preserve">5x over limit</t>
  </si>
  <si>
    <t xml:space="preserve">PERF-008</t>
  </si>
  <si>
    <t xml:space="preserve">Homepage JS size</t>
  </si>
  <si>
    <t xml:space="preserve">Inspect homepage</t>
  </si>
  <si>
    <t xml:space="preserve">JS &lt; 500KB</t>
  </si>
  <si>
    <t xml:space="preserve">JS ~0 bytes</t>
  </si>
  <si>
    <t xml:space="preserve">PERF-009</t>
  </si>
  <si>
    <t xml:space="preserve">Resource Count</t>
  </si>
  <si>
    <t xml:space="preserve">Homepage resources</t>
  </si>
  <si>
    <t xml:space="preserve">Count HTTP requests</t>
  </si>
  <si>
    <t xml:space="preserve">&lt; 30 requests</t>
  </si>
  <si>
    <t xml:space="preserve">21 resources</t>
  </si>
  <si>
    <t xml:space="preserve">PERF-010</t>
  </si>
  <si>
    <t xml:space="preserve">Admin Schedule resources</t>
  </si>
  <si>
    <t xml:space="preserve">&lt; 25 requests</t>
  </si>
  <si>
    <t xml:space="preserve">20 resources</t>
  </si>
  <si>
    <t xml:space="preserve">PERF-011</t>
  </si>
  <si>
    <t xml:space="preserve">Core Web Vitals</t>
  </si>
  <si>
    <t xml:space="preserve">Cumulative score</t>
  </si>
  <si>
    <t xml:space="preserve">Calculate overall CWV</t>
  </si>
  <si>
    <t xml:space="preserve">Score 90+</t>
  </si>
  <si>
    <t xml:space="preserve">Score ~40-50</t>
  </si>
  <si>
    <t xml:space="preserve">Major optimizations needed</t>
  </si>
  <si>
    <t xml:space="preserve">PERF-012</t>
  </si>
  <si>
    <t xml:space="preserve">Asset Optimization</t>
  </si>
  <si>
    <t xml:space="preserve">Image compression</t>
  </si>
  <si>
    <t xml:space="preserve">Check image sizes</t>
  </si>
  <si>
    <t xml:space="preserve">Images optimized</t>
  </si>
  <si>
    <t xml:space="preserve">Unknown - not measured</t>
  </si>
  <si>
    <t xml:space="preserve">Needs detailed analysis</t>
  </si>
  <si>
    <t xml:space="preserve">PERF-013</t>
  </si>
  <si>
    <t xml:space="preserve">Code Splitting</t>
  </si>
  <si>
    <t xml:space="preserve">Admin module bundling</t>
  </si>
  <si>
    <t xml:space="preserve">Verify code split</t>
  </si>
  <si>
    <t xml:space="preserve">Admin JS split from main</t>
  </si>
  <si>
    <t xml:space="preserve">No splitting detected</t>
  </si>
  <si>
    <t xml:space="preserve">All admin JS in one bundle</t>
  </si>
  <si>
    <t xml:space="preserve">PERF-014</t>
  </si>
  <si>
    <t xml:space="preserve">Lazy Loading</t>
  </si>
  <si>
    <t xml:space="preserve">GSAP lazy load</t>
  </si>
  <si>
    <t xml:space="preserve">Check GSAP loading</t>
  </si>
  <si>
    <t xml:space="preserve">Lazy loaded</t>
  </si>
  <si>
    <t xml:space="preserve">Loaded eagerly, impacts FCP</t>
  </si>
  <si>
    <t xml:space="preserve">Primary FCP bottleneck</t>
  </si>
  <si>
    <t xml:space="preserve">PERF-015</t>
  </si>
  <si>
    <t xml:space="preserve">Caching</t>
  </si>
  <si>
    <t xml:space="preserve">Browser caching</t>
  </si>
  <si>
    <t xml:space="preserve">Inspect cache headers</t>
  </si>
  <si>
    <t xml:space="preserve">Cache-Control set appropriately</t>
  </si>
  <si>
    <t xml:space="preserve">Not verified in V9</t>
  </si>
  <si>
    <t xml:space="preserve">Needs header inspection</t>
  </si>
  <si>
    <t xml:space="preserve">Flexology V9 Test Execution Summary</t>
  </si>
  <si>
    <t xml:space="preserve">Test Case Counts by Category</t>
  </si>
  <si>
    <t xml:space="preserve">USR:</t>
  </si>
  <si>
    <t xml:space="preserve">ADM:</t>
  </si>
  <si>
    <t xml:space="preserve">POS:</t>
  </si>
  <si>
    <t xml:space="preserve">SEC:</t>
  </si>
  <si>
    <t xml:space="preserve">PERF:</t>
  </si>
  <si>
    <t xml:space="preserve">Total:</t>
  </si>
  <si>
    <t xml:space="preserve">Test Results by Status</t>
  </si>
  <si>
    <t xml:space="preserve">PASS:</t>
  </si>
  <si>
    <t xml:space="preserve">FAIL:</t>
  </si>
  <si>
    <t xml:space="preserve">BLOCKED:</t>
  </si>
  <si>
    <t xml:space="preserve">Pass Rate:</t>
  </si>
  <si>
    <t xml:space="preserve">Critical Issues Blocking Release:</t>
  </si>
  <si>
    <t xml:space="preserve">- Admin auth middleware broken (ADM-001, SEC-T09)</t>
  </si>
  <si>
    <t xml:space="preserve">- Credentials in URL (SEC-T13, USR-009)</t>
  </si>
  <si>
    <t xml:space="preserve">- Server crashes on invalid input (USR-010, USR-014)</t>
  </si>
  <si>
    <t xml:space="preserve">- Admin pages 500 errors (ADM-006, ADM-008, ADM-009)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</si>
</sst>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366092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  <fill>
      <patternFill patternType="solid">
        <fgColor rgb="FFFFCC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36609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5"/>
    <col collapsed="false" customWidth="true" hidden="false" outlineLevel="0" max="4" min="4" style="0" width="35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15" hidden="false" customHeight="false" outlineLevel="0" collapsed="false">
      <c r="A3" s="3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/>
    </row>
    <row r="4" customFormat="false" ht="15" hidden="false" customHeight="false" outlineLevel="0" collapsed="false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23</v>
      </c>
      <c r="H4" s="3" t="s">
        <v>31</v>
      </c>
      <c r="I4" s="3"/>
    </row>
    <row r="5" customFormat="false" ht="15" hidden="false" customHeight="false" outlineLevel="0" collapsed="false">
      <c r="A5" s="3" t="s">
        <v>32</v>
      </c>
      <c r="B5" s="3" t="s">
        <v>26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23</v>
      </c>
      <c r="H5" s="3" t="s">
        <v>31</v>
      </c>
      <c r="I5" s="3"/>
    </row>
    <row r="6" customFormat="false" ht="15" hidden="false" customHeight="false" outlineLevel="0" collapsed="false">
      <c r="A6" s="3" t="s">
        <v>37</v>
      </c>
      <c r="B6" s="3" t="s">
        <v>26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23</v>
      </c>
      <c r="H6" s="3" t="s">
        <v>31</v>
      </c>
      <c r="I6" s="3"/>
    </row>
    <row r="7" customFormat="false" ht="15" hidden="false" customHeight="false" outlineLevel="0" collapsed="false">
      <c r="A7" s="3" t="s">
        <v>42</v>
      </c>
      <c r="B7" s="3" t="s">
        <v>26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23</v>
      </c>
      <c r="H7" s="3" t="s">
        <v>31</v>
      </c>
      <c r="I7" s="3"/>
    </row>
    <row r="8" customFormat="false" ht="23.85" hidden="false" customHeight="false" outlineLevel="0" collapsed="false">
      <c r="A8" s="3" t="s">
        <v>47</v>
      </c>
      <c r="B8" s="3" t="s">
        <v>26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23</v>
      </c>
      <c r="H8" s="3" t="s">
        <v>31</v>
      </c>
      <c r="I8" s="3" t="s">
        <v>52</v>
      </c>
    </row>
    <row r="9" customFormat="false" ht="15" hidden="false" customHeight="false" outlineLevel="0" collapsed="false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23</v>
      </c>
      <c r="H9" s="3" t="s">
        <v>24</v>
      </c>
      <c r="I9" s="3"/>
    </row>
    <row r="10" customFormat="false" ht="15" hidden="false" customHeight="false" outlineLevel="0" collapsed="false">
      <c r="A10" s="2" t="s">
        <v>59</v>
      </c>
      <c r="B10" s="2" t="s">
        <v>54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15</v>
      </c>
      <c r="H10" s="2" t="s">
        <v>64</v>
      </c>
      <c r="I10" s="2" t="s">
        <v>65</v>
      </c>
    </row>
    <row r="11" customFormat="false" ht="15" hidden="false" customHeight="false" outlineLevel="0" collapsed="false">
      <c r="A11" s="2" t="s">
        <v>66</v>
      </c>
      <c r="B11" s="2" t="s">
        <v>54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15</v>
      </c>
      <c r="H11" s="2" t="s">
        <v>64</v>
      </c>
      <c r="I11" s="2" t="s">
        <v>71</v>
      </c>
    </row>
    <row r="12" customFormat="false" ht="15" hidden="false" customHeight="false" outlineLevel="0" collapsed="false">
      <c r="A12" s="3" t="s">
        <v>72</v>
      </c>
      <c r="B12" s="3" t="s">
        <v>54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23</v>
      </c>
      <c r="H12" s="3" t="s">
        <v>24</v>
      </c>
      <c r="I12" s="3" t="s">
        <v>77</v>
      </c>
    </row>
    <row r="13" customFormat="false" ht="15" hidden="false" customHeight="false" outlineLevel="0" collapsed="false">
      <c r="A13" s="3" t="s">
        <v>78</v>
      </c>
      <c r="B13" s="3" t="s">
        <v>79</v>
      </c>
      <c r="C13" s="3" t="s">
        <v>80</v>
      </c>
      <c r="D13" s="3" t="s">
        <v>81</v>
      </c>
      <c r="E13" s="3" t="s">
        <v>82</v>
      </c>
      <c r="F13" s="3" t="s">
        <v>83</v>
      </c>
      <c r="G13" s="3" t="s">
        <v>23</v>
      </c>
      <c r="H13" s="3" t="s">
        <v>24</v>
      </c>
      <c r="I13" s="3"/>
    </row>
    <row r="14" customFormat="false" ht="15" hidden="false" customHeight="false" outlineLevel="0" collapsed="false">
      <c r="A14" s="3" t="s">
        <v>84</v>
      </c>
      <c r="B14" s="3" t="s">
        <v>79</v>
      </c>
      <c r="C14" s="3" t="s">
        <v>85</v>
      </c>
      <c r="D14" s="3" t="s">
        <v>86</v>
      </c>
      <c r="E14" s="3" t="s">
        <v>45</v>
      </c>
      <c r="F14" s="3" t="s">
        <v>87</v>
      </c>
      <c r="G14" s="3" t="s">
        <v>23</v>
      </c>
      <c r="H14" s="3" t="s">
        <v>24</v>
      </c>
      <c r="I14" s="3"/>
    </row>
    <row r="15" customFormat="false" ht="15" hidden="false" customHeight="false" outlineLevel="0" collapsed="false">
      <c r="A15" s="2" t="s">
        <v>88</v>
      </c>
      <c r="B15" s="2" t="s">
        <v>79</v>
      </c>
      <c r="C15" s="2" t="s">
        <v>89</v>
      </c>
      <c r="D15" s="2" t="s">
        <v>90</v>
      </c>
      <c r="E15" s="2" t="s">
        <v>91</v>
      </c>
      <c r="F15" s="2" t="s">
        <v>92</v>
      </c>
      <c r="G15" s="2" t="s">
        <v>15</v>
      </c>
      <c r="H15" s="2" t="s">
        <v>16</v>
      </c>
      <c r="I15" s="2" t="s">
        <v>93</v>
      </c>
    </row>
    <row r="16" customFormat="false" ht="15" hidden="false" customHeight="false" outlineLevel="0" collapsed="false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15</v>
      </c>
      <c r="H16" s="2" t="s">
        <v>31</v>
      </c>
      <c r="I16" s="2" t="s">
        <v>100</v>
      </c>
    </row>
    <row r="17" customFormat="false" ht="15" hidden="false" customHeight="false" outlineLevel="0" collapsed="false">
      <c r="A17" s="3" t="s">
        <v>101</v>
      </c>
      <c r="B17" s="3" t="s">
        <v>95</v>
      </c>
      <c r="C17" s="3" t="s">
        <v>102</v>
      </c>
      <c r="D17" s="3" t="s">
        <v>103</v>
      </c>
      <c r="E17" s="3" t="s">
        <v>104</v>
      </c>
      <c r="F17" s="3" t="s">
        <v>105</v>
      </c>
      <c r="G17" s="3" t="s">
        <v>23</v>
      </c>
      <c r="H17" s="3" t="s">
        <v>24</v>
      </c>
      <c r="I17" s="3"/>
    </row>
    <row r="18" customFormat="false" ht="15" hidden="false" customHeight="false" outlineLevel="0" collapsed="false">
      <c r="A18" s="2" t="s">
        <v>106</v>
      </c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111</v>
      </c>
      <c r="G18" s="2" t="s">
        <v>15</v>
      </c>
      <c r="H18" s="2" t="s">
        <v>31</v>
      </c>
      <c r="I18" s="2" t="s">
        <v>112</v>
      </c>
    </row>
    <row r="19" customFormat="false" ht="15" hidden="false" customHeight="false" outlineLevel="0" collapsed="false">
      <c r="A19" s="4" t="s">
        <v>113</v>
      </c>
      <c r="B19" s="4" t="s">
        <v>107</v>
      </c>
      <c r="C19" s="4" t="s">
        <v>114</v>
      </c>
      <c r="D19" s="4" t="s">
        <v>115</v>
      </c>
      <c r="E19" s="4" t="s">
        <v>116</v>
      </c>
      <c r="F19" s="4" t="s">
        <v>117</v>
      </c>
      <c r="G19" s="4" t="s">
        <v>118</v>
      </c>
      <c r="H19" s="4" t="s">
        <v>31</v>
      </c>
      <c r="I19" s="4" t="s">
        <v>119</v>
      </c>
    </row>
    <row r="20" customFormat="false" ht="15" hidden="false" customHeight="false" outlineLevel="0" collapsed="false">
      <c r="A20" s="2" t="s">
        <v>120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15</v>
      </c>
      <c r="H20" s="2" t="s">
        <v>16</v>
      </c>
      <c r="I20" s="2" t="s">
        <v>126</v>
      </c>
    </row>
    <row r="21" customFormat="false" ht="15" hidden="false" customHeight="false" outlineLevel="0" collapsed="false">
      <c r="A21" s="4" t="s">
        <v>127</v>
      </c>
      <c r="B21" s="4" t="s">
        <v>121</v>
      </c>
      <c r="C21" s="4" t="s">
        <v>128</v>
      </c>
      <c r="D21" s="4" t="s">
        <v>129</v>
      </c>
      <c r="E21" s="4" t="s">
        <v>130</v>
      </c>
      <c r="F21" s="4" t="s">
        <v>117</v>
      </c>
      <c r="G21" s="4" t="s">
        <v>118</v>
      </c>
      <c r="H21" s="4" t="s">
        <v>31</v>
      </c>
      <c r="I21" s="4" t="s">
        <v>131</v>
      </c>
    </row>
    <row r="22" customFormat="false" ht="15" hidden="false" customHeight="false" outlineLevel="0" collapsed="false">
      <c r="A22" s="3" t="s">
        <v>132</v>
      </c>
      <c r="B22" s="3" t="s">
        <v>133</v>
      </c>
      <c r="C22" s="3" t="s">
        <v>134</v>
      </c>
      <c r="D22" s="3" t="s">
        <v>135</v>
      </c>
      <c r="E22" s="3" t="s">
        <v>136</v>
      </c>
      <c r="F22" s="3" t="s">
        <v>137</v>
      </c>
      <c r="G22" s="3" t="s">
        <v>23</v>
      </c>
      <c r="H22" s="3" t="s">
        <v>24</v>
      </c>
      <c r="I22" s="3"/>
    </row>
    <row r="23" customFormat="false" ht="15" hidden="false" customHeight="false" outlineLevel="0" collapsed="false">
      <c r="A23" s="2" t="s">
        <v>138</v>
      </c>
      <c r="B23" s="2" t="s">
        <v>133</v>
      </c>
      <c r="C23" s="2" t="s">
        <v>139</v>
      </c>
      <c r="D23" s="2" t="s">
        <v>140</v>
      </c>
      <c r="E23" s="2" t="s">
        <v>141</v>
      </c>
      <c r="F23" s="2" t="s">
        <v>142</v>
      </c>
      <c r="G23" s="2" t="s">
        <v>15</v>
      </c>
      <c r="H23" s="2" t="s">
        <v>24</v>
      </c>
      <c r="I23" s="2" t="s">
        <v>143</v>
      </c>
    </row>
    <row r="24" customFormat="false" ht="15" hidden="false" customHeight="false" outlineLevel="0" collapsed="false">
      <c r="A24" s="2" t="s">
        <v>144</v>
      </c>
      <c r="B24" s="2" t="s">
        <v>145</v>
      </c>
      <c r="C24" s="2" t="s">
        <v>146</v>
      </c>
      <c r="D24" s="2" t="s">
        <v>147</v>
      </c>
      <c r="E24" s="2" t="s">
        <v>148</v>
      </c>
      <c r="F24" s="2" t="s">
        <v>149</v>
      </c>
      <c r="G24" s="2" t="s">
        <v>15</v>
      </c>
      <c r="H24" s="2" t="s">
        <v>64</v>
      </c>
      <c r="I24" s="2" t="s">
        <v>150</v>
      </c>
    </row>
    <row r="25" customFormat="false" ht="15" hidden="false" customHeight="false" outlineLevel="0" collapsed="false">
      <c r="A25" s="3" t="s">
        <v>151</v>
      </c>
      <c r="B25" s="3" t="s">
        <v>152</v>
      </c>
      <c r="C25" s="3" t="s">
        <v>153</v>
      </c>
      <c r="D25" s="3" t="s">
        <v>154</v>
      </c>
      <c r="E25" s="3" t="s">
        <v>155</v>
      </c>
      <c r="F25" s="3" t="s">
        <v>156</v>
      </c>
      <c r="G25" s="3" t="s">
        <v>23</v>
      </c>
      <c r="H25" s="3" t="s">
        <v>24</v>
      </c>
      <c r="I25" s="3" t="s">
        <v>157</v>
      </c>
    </row>
    <row r="26" customFormat="false" ht="15" hidden="false" customHeight="false" outlineLevel="0" collapsed="false">
      <c r="A26" s="3" t="s">
        <v>158</v>
      </c>
      <c r="B26" s="3" t="s">
        <v>159</v>
      </c>
      <c r="C26" s="3" t="s">
        <v>160</v>
      </c>
      <c r="D26" s="3" t="s">
        <v>161</v>
      </c>
      <c r="E26" s="3" t="s">
        <v>162</v>
      </c>
      <c r="F26" s="3" t="s">
        <v>163</v>
      </c>
      <c r="G26" s="3" t="s">
        <v>23</v>
      </c>
      <c r="H26" s="3" t="s">
        <v>24</v>
      </c>
      <c r="I26" s="3" t="s">
        <v>164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5"/>
    <col collapsed="false" customWidth="true" hidden="false" outlineLevel="0" max="4" min="4" style="0" width="35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165</v>
      </c>
      <c r="B2" s="2" t="s">
        <v>166</v>
      </c>
      <c r="C2" s="2" t="s">
        <v>167</v>
      </c>
      <c r="D2" s="2" t="s">
        <v>168</v>
      </c>
      <c r="E2" s="2" t="s">
        <v>169</v>
      </c>
      <c r="F2" s="2" t="s">
        <v>170</v>
      </c>
      <c r="G2" s="2" t="s">
        <v>15</v>
      </c>
      <c r="H2" s="2" t="s">
        <v>64</v>
      </c>
      <c r="I2" s="2" t="s">
        <v>171</v>
      </c>
    </row>
    <row r="3" customFormat="false" ht="23.85" hidden="false" customHeight="false" outlineLevel="0" collapsed="false">
      <c r="A3" s="4" t="s">
        <v>172</v>
      </c>
      <c r="B3" s="4" t="s">
        <v>166</v>
      </c>
      <c r="C3" s="4" t="s">
        <v>173</v>
      </c>
      <c r="D3" s="4" t="s">
        <v>174</v>
      </c>
      <c r="E3" s="4" t="s">
        <v>175</v>
      </c>
      <c r="F3" s="4" t="s">
        <v>176</v>
      </c>
      <c r="G3" s="4" t="s">
        <v>118</v>
      </c>
      <c r="H3" s="4" t="s">
        <v>31</v>
      </c>
      <c r="I3" s="4" t="s">
        <v>177</v>
      </c>
    </row>
    <row r="4" customFormat="false" ht="15" hidden="false" customHeight="false" outlineLevel="0" collapsed="false">
      <c r="A4" s="3" t="s">
        <v>178</v>
      </c>
      <c r="B4" s="3" t="s">
        <v>179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23</v>
      </c>
      <c r="H4" s="3" t="s">
        <v>24</v>
      </c>
      <c r="I4" s="3" t="s">
        <v>184</v>
      </c>
    </row>
    <row r="5" customFormat="false" ht="15" hidden="false" customHeight="false" outlineLevel="0" collapsed="false">
      <c r="A5" s="3" t="s">
        <v>185</v>
      </c>
      <c r="B5" s="3" t="s">
        <v>179</v>
      </c>
      <c r="C5" s="3" t="s">
        <v>186</v>
      </c>
      <c r="D5" s="3" t="s">
        <v>187</v>
      </c>
      <c r="E5" s="3" t="s">
        <v>188</v>
      </c>
      <c r="F5" s="3" t="s">
        <v>189</v>
      </c>
      <c r="G5" s="3" t="s">
        <v>23</v>
      </c>
      <c r="H5" s="3" t="s">
        <v>31</v>
      </c>
      <c r="I5" s="3" t="s">
        <v>190</v>
      </c>
    </row>
    <row r="6" customFormat="false" ht="15" hidden="false" customHeight="false" outlineLevel="0" collapsed="false">
      <c r="A6" s="2" t="s">
        <v>191</v>
      </c>
      <c r="B6" s="2" t="s">
        <v>192</v>
      </c>
      <c r="C6" s="2" t="s">
        <v>193</v>
      </c>
      <c r="D6" s="2" t="s">
        <v>194</v>
      </c>
      <c r="E6" s="2" t="s">
        <v>195</v>
      </c>
      <c r="F6" s="2" t="s">
        <v>196</v>
      </c>
      <c r="G6" s="2" t="s">
        <v>15</v>
      </c>
      <c r="H6" s="2" t="s">
        <v>16</v>
      </c>
      <c r="I6" s="2" t="s">
        <v>197</v>
      </c>
    </row>
    <row r="7" customFormat="false" ht="15" hidden="false" customHeight="false" outlineLevel="0" collapsed="false">
      <c r="A7" s="2" t="s">
        <v>198</v>
      </c>
      <c r="B7" s="2" t="s">
        <v>199</v>
      </c>
      <c r="C7" s="2" t="s">
        <v>200</v>
      </c>
      <c r="D7" s="2" t="s">
        <v>201</v>
      </c>
      <c r="E7" s="2" t="s">
        <v>202</v>
      </c>
      <c r="F7" s="2" t="s">
        <v>125</v>
      </c>
      <c r="G7" s="2" t="s">
        <v>15</v>
      </c>
      <c r="H7" s="2" t="s">
        <v>64</v>
      </c>
      <c r="I7" s="2" t="s">
        <v>126</v>
      </c>
    </row>
    <row r="8" customFormat="false" ht="15" hidden="false" customHeight="false" outlineLevel="0" collapsed="false">
      <c r="A8" s="4" t="s">
        <v>203</v>
      </c>
      <c r="B8" s="4" t="s">
        <v>199</v>
      </c>
      <c r="C8" s="4" t="s">
        <v>204</v>
      </c>
      <c r="D8" s="4" t="s">
        <v>205</v>
      </c>
      <c r="E8" s="4" t="s">
        <v>206</v>
      </c>
      <c r="F8" s="4" t="s">
        <v>117</v>
      </c>
      <c r="G8" s="4" t="s">
        <v>118</v>
      </c>
      <c r="H8" s="4" t="s">
        <v>16</v>
      </c>
      <c r="I8" s="4" t="s">
        <v>207</v>
      </c>
    </row>
    <row r="9" customFormat="false" ht="15" hidden="false" customHeight="false" outlineLevel="0" collapsed="false">
      <c r="A9" s="2" t="s">
        <v>208</v>
      </c>
      <c r="B9" s="2" t="s">
        <v>209</v>
      </c>
      <c r="C9" s="2" t="s">
        <v>210</v>
      </c>
      <c r="D9" s="2" t="s">
        <v>211</v>
      </c>
      <c r="E9" s="2" t="s">
        <v>212</v>
      </c>
      <c r="F9" s="2" t="s">
        <v>125</v>
      </c>
      <c r="G9" s="2" t="s">
        <v>15</v>
      </c>
      <c r="H9" s="2" t="s">
        <v>64</v>
      </c>
      <c r="I9" s="2" t="s">
        <v>126</v>
      </c>
    </row>
    <row r="10" customFormat="false" ht="15" hidden="false" customHeight="false" outlineLevel="0" collapsed="false">
      <c r="A10" s="2" t="s">
        <v>213</v>
      </c>
      <c r="B10" s="2" t="s">
        <v>214</v>
      </c>
      <c r="C10" s="2" t="s">
        <v>215</v>
      </c>
      <c r="D10" s="2" t="s">
        <v>216</v>
      </c>
      <c r="E10" s="2" t="s">
        <v>217</v>
      </c>
      <c r="F10" s="2" t="s">
        <v>125</v>
      </c>
      <c r="G10" s="2" t="s">
        <v>15</v>
      </c>
      <c r="H10" s="2" t="s">
        <v>64</v>
      </c>
      <c r="I10" s="2" t="s">
        <v>126</v>
      </c>
    </row>
    <row r="11" customFormat="false" ht="15" hidden="false" customHeight="false" outlineLevel="0" collapsed="false">
      <c r="A11" s="2" t="s">
        <v>218</v>
      </c>
      <c r="B11" s="2" t="s">
        <v>219</v>
      </c>
      <c r="C11" s="2" t="s">
        <v>220</v>
      </c>
      <c r="D11" s="2" t="s">
        <v>221</v>
      </c>
      <c r="E11" s="2" t="s">
        <v>222</v>
      </c>
      <c r="F11" s="2" t="s">
        <v>223</v>
      </c>
      <c r="G11" s="2" t="s">
        <v>15</v>
      </c>
      <c r="H11" s="2" t="s">
        <v>31</v>
      </c>
      <c r="I11" s="2" t="s">
        <v>224</v>
      </c>
    </row>
    <row r="12" customFormat="false" ht="15" hidden="false" customHeight="false" outlineLevel="0" collapsed="false">
      <c r="A12" s="4" t="s">
        <v>225</v>
      </c>
      <c r="B12" s="4" t="s">
        <v>219</v>
      </c>
      <c r="C12" s="4" t="s">
        <v>226</v>
      </c>
      <c r="D12" s="4" t="s">
        <v>227</v>
      </c>
      <c r="E12" s="4" t="s">
        <v>228</v>
      </c>
      <c r="F12" s="4" t="s">
        <v>229</v>
      </c>
      <c r="G12" s="4" t="s">
        <v>118</v>
      </c>
      <c r="H12" s="4" t="s">
        <v>31</v>
      </c>
      <c r="I12" s="4" t="s">
        <v>230</v>
      </c>
    </row>
    <row r="13" customFormat="false" ht="15" hidden="false" customHeight="false" outlineLevel="0" collapsed="false">
      <c r="A13" s="3" t="s">
        <v>231</v>
      </c>
      <c r="B13" s="3" t="s">
        <v>232</v>
      </c>
      <c r="C13" s="3" t="s">
        <v>233</v>
      </c>
      <c r="D13" s="3" t="s">
        <v>234</v>
      </c>
      <c r="E13" s="3" t="s">
        <v>235</v>
      </c>
      <c r="F13" s="3" t="s">
        <v>236</v>
      </c>
      <c r="G13" s="3" t="s">
        <v>23</v>
      </c>
      <c r="H13" s="3" t="s">
        <v>24</v>
      </c>
      <c r="I13" s="3"/>
    </row>
    <row r="14" customFormat="false" ht="15" hidden="false" customHeight="false" outlineLevel="0" collapsed="false">
      <c r="A14" s="3" t="s">
        <v>237</v>
      </c>
      <c r="B14" s="3" t="s">
        <v>238</v>
      </c>
      <c r="C14" s="3" t="s">
        <v>239</v>
      </c>
      <c r="D14" s="3" t="s">
        <v>240</v>
      </c>
      <c r="E14" s="3" t="s">
        <v>241</v>
      </c>
      <c r="F14" s="3" t="s">
        <v>242</v>
      </c>
      <c r="G14" s="3" t="s">
        <v>23</v>
      </c>
      <c r="H14" s="3" t="s">
        <v>24</v>
      </c>
      <c r="I14" s="3" t="s">
        <v>243</v>
      </c>
    </row>
    <row r="15" customFormat="false" ht="15" hidden="false" customHeight="false" outlineLevel="0" collapsed="false">
      <c r="A15" s="3" t="s">
        <v>244</v>
      </c>
      <c r="B15" s="3" t="s">
        <v>179</v>
      </c>
      <c r="C15" s="3" t="s">
        <v>245</v>
      </c>
      <c r="D15" s="3" t="s">
        <v>246</v>
      </c>
      <c r="E15" s="3" t="s">
        <v>247</v>
      </c>
      <c r="F15" s="3" t="s">
        <v>248</v>
      </c>
      <c r="G15" s="3" t="s">
        <v>23</v>
      </c>
      <c r="H15" s="3" t="s">
        <v>24</v>
      </c>
      <c r="I15" s="3"/>
    </row>
    <row r="16" customFormat="false" ht="23.85" hidden="false" customHeight="false" outlineLevel="0" collapsed="false">
      <c r="A16" s="4" t="s">
        <v>249</v>
      </c>
      <c r="B16" s="4" t="s">
        <v>250</v>
      </c>
      <c r="C16" s="4" t="s">
        <v>251</v>
      </c>
      <c r="D16" s="4" t="s">
        <v>252</v>
      </c>
      <c r="E16" s="4" t="s">
        <v>253</v>
      </c>
      <c r="F16" s="4" t="s">
        <v>254</v>
      </c>
      <c r="G16" s="4" t="s">
        <v>118</v>
      </c>
      <c r="H16" s="4" t="s">
        <v>64</v>
      </c>
      <c r="I16" s="4" t="s">
        <v>255</v>
      </c>
    </row>
    <row r="17" customFormat="false" ht="23.85" hidden="false" customHeight="false" outlineLevel="0" collapsed="false">
      <c r="A17" s="4" t="s">
        <v>256</v>
      </c>
      <c r="B17" s="4" t="s">
        <v>257</v>
      </c>
      <c r="C17" s="4" t="s">
        <v>258</v>
      </c>
      <c r="D17" s="4" t="s">
        <v>259</v>
      </c>
      <c r="E17" s="4" t="s">
        <v>260</v>
      </c>
      <c r="F17" s="4" t="s">
        <v>261</v>
      </c>
      <c r="G17" s="4" t="s">
        <v>118</v>
      </c>
      <c r="H17" s="4" t="s">
        <v>16</v>
      </c>
      <c r="I17" s="4" t="s">
        <v>262</v>
      </c>
    </row>
    <row r="18" customFormat="false" ht="15" hidden="false" customHeight="false" outlineLevel="0" collapsed="false">
      <c r="A18" s="2" t="s">
        <v>263</v>
      </c>
      <c r="B18" s="2" t="s">
        <v>264</v>
      </c>
      <c r="C18" s="2" t="s">
        <v>265</v>
      </c>
      <c r="D18" s="2" t="s">
        <v>266</v>
      </c>
      <c r="E18" s="2" t="s">
        <v>69</v>
      </c>
      <c r="F18" s="2" t="s">
        <v>267</v>
      </c>
      <c r="G18" s="2" t="s">
        <v>15</v>
      </c>
      <c r="H18" s="2" t="s">
        <v>16</v>
      </c>
      <c r="I18" s="2" t="s">
        <v>268</v>
      </c>
    </row>
    <row r="19" customFormat="false" ht="15" hidden="false" customHeight="false" outlineLevel="0" collapsed="false">
      <c r="A19" s="2" t="s">
        <v>269</v>
      </c>
      <c r="B19" s="2" t="s">
        <v>270</v>
      </c>
      <c r="C19" s="2" t="s">
        <v>271</v>
      </c>
      <c r="D19" s="2" t="s">
        <v>272</v>
      </c>
      <c r="E19" s="2" t="s">
        <v>273</v>
      </c>
      <c r="F19" s="2" t="s">
        <v>274</v>
      </c>
      <c r="G19" s="2" t="s">
        <v>15</v>
      </c>
      <c r="H19" s="2" t="s">
        <v>16</v>
      </c>
      <c r="I19" s="2" t="s">
        <v>275</v>
      </c>
    </row>
    <row r="20" customFormat="false" ht="15" hidden="false" customHeight="false" outlineLevel="0" collapsed="false">
      <c r="A20" s="3" t="s">
        <v>276</v>
      </c>
      <c r="B20" s="3" t="s">
        <v>277</v>
      </c>
      <c r="C20" s="3" t="s">
        <v>278</v>
      </c>
      <c r="D20" s="3" t="s">
        <v>279</v>
      </c>
      <c r="E20" s="3" t="s">
        <v>280</v>
      </c>
      <c r="F20" s="3" t="s">
        <v>281</v>
      </c>
      <c r="G20" s="3" t="s">
        <v>23</v>
      </c>
      <c r="H20" s="3" t="s">
        <v>24</v>
      </c>
      <c r="I20" s="3"/>
    </row>
    <row r="21" customFormat="false" ht="15" hidden="false" customHeight="false" outlineLevel="0" collapsed="false">
      <c r="A21" s="2" t="s">
        <v>282</v>
      </c>
      <c r="B21" s="2" t="s">
        <v>283</v>
      </c>
      <c r="C21" s="2" t="s">
        <v>284</v>
      </c>
      <c r="D21" s="2" t="s">
        <v>285</v>
      </c>
      <c r="E21" s="2" t="s">
        <v>286</v>
      </c>
      <c r="F21" s="2" t="s">
        <v>287</v>
      </c>
      <c r="G21" s="2" t="s">
        <v>15</v>
      </c>
      <c r="H21" s="2" t="s">
        <v>24</v>
      </c>
      <c r="I21" s="2" t="s">
        <v>288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5"/>
    <col collapsed="false" customWidth="true" hidden="false" outlineLevel="0" max="4" min="4" style="0" width="35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289</v>
      </c>
      <c r="B2" s="2" t="s">
        <v>290</v>
      </c>
      <c r="C2" s="2" t="s">
        <v>291</v>
      </c>
      <c r="D2" s="2" t="s">
        <v>292</v>
      </c>
      <c r="E2" s="2" t="s">
        <v>222</v>
      </c>
      <c r="F2" s="2" t="s">
        <v>293</v>
      </c>
      <c r="G2" s="2" t="s">
        <v>15</v>
      </c>
      <c r="H2" s="2" t="s">
        <v>31</v>
      </c>
      <c r="I2" s="2" t="s">
        <v>224</v>
      </c>
    </row>
    <row r="3" customFormat="false" ht="15" hidden="false" customHeight="false" outlineLevel="0" collapsed="false">
      <c r="A3" s="2" t="s">
        <v>294</v>
      </c>
      <c r="B3" s="2" t="s">
        <v>295</v>
      </c>
      <c r="C3" s="2" t="s">
        <v>296</v>
      </c>
      <c r="D3" s="2" t="s">
        <v>297</v>
      </c>
      <c r="E3" s="2" t="s">
        <v>298</v>
      </c>
      <c r="F3" s="2" t="s">
        <v>299</v>
      </c>
      <c r="G3" s="2" t="s">
        <v>15</v>
      </c>
      <c r="H3" s="2" t="s">
        <v>31</v>
      </c>
      <c r="I3" s="2" t="s">
        <v>300</v>
      </c>
    </row>
    <row r="4" customFormat="false" ht="15" hidden="false" customHeight="false" outlineLevel="0" collapsed="false">
      <c r="A4" s="3" t="s">
        <v>301</v>
      </c>
      <c r="B4" s="3" t="s">
        <v>302</v>
      </c>
      <c r="C4" s="3" t="s">
        <v>303</v>
      </c>
      <c r="D4" s="3" t="s">
        <v>304</v>
      </c>
      <c r="E4" s="3" t="s">
        <v>305</v>
      </c>
      <c r="F4" s="3" t="s">
        <v>306</v>
      </c>
      <c r="G4" s="3" t="s">
        <v>23</v>
      </c>
      <c r="H4" s="3" t="s">
        <v>24</v>
      </c>
      <c r="I4" s="3" t="s">
        <v>307</v>
      </c>
    </row>
    <row r="5" customFormat="false" ht="15" hidden="false" customHeight="false" outlineLevel="0" collapsed="false">
      <c r="A5" s="4" t="s">
        <v>308</v>
      </c>
      <c r="B5" s="4" t="s">
        <v>309</v>
      </c>
      <c r="C5" s="4" t="s">
        <v>310</v>
      </c>
      <c r="D5" s="4" t="s">
        <v>311</v>
      </c>
      <c r="E5" s="4" t="s">
        <v>312</v>
      </c>
      <c r="F5" s="4" t="s">
        <v>313</v>
      </c>
      <c r="G5" s="4" t="s">
        <v>118</v>
      </c>
      <c r="H5" s="4" t="s">
        <v>24</v>
      </c>
      <c r="I5" s="4" t="s">
        <v>314</v>
      </c>
    </row>
    <row r="6" customFormat="false" ht="15" hidden="false" customHeight="false" outlineLevel="0" collapsed="false">
      <c r="A6" s="2" t="s">
        <v>315</v>
      </c>
      <c r="B6" s="2" t="s">
        <v>316</v>
      </c>
      <c r="C6" s="2" t="s">
        <v>317</v>
      </c>
      <c r="D6" s="2" t="s">
        <v>318</v>
      </c>
      <c r="E6" s="2" t="s">
        <v>319</v>
      </c>
      <c r="F6" s="2" t="s">
        <v>293</v>
      </c>
      <c r="G6" s="2" t="s">
        <v>15</v>
      </c>
      <c r="H6" s="2" t="s">
        <v>31</v>
      </c>
      <c r="I6" s="2" t="s">
        <v>320</v>
      </c>
    </row>
    <row r="7" customFormat="false" ht="15" hidden="false" customHeight="false" outlineLevel="0" collapsed="false">
      <c r="A7" s="4" t="s">
        <v>321</v>
      </c>
      <c r="B7" s="4" t="s">
        <v>322</v>
      </c>
      <c r="C7" s="4" t="s">
        <v>323</v>
      </c>
      <c r="D7" s="4" t="s">
        <v>324</v>
      </c>
      <c r="E7" s="4" t="s">
        <v>325</v>
      </c>
      <c r="F7" s="4" t="s">
        <v>326</v>
      </c>
      <c r="G7" s="4" t="s">
        <v>118</v>
      </c>
      <c r="H7" s="4" t="s">
        <v>24</v>
      </c>
      <c r="I7" s="4" t="s">
        <v>327</v>
      </c>
    </row>
    <row r="8" customFormat="false" ht="15" hidden="false" customHeight="false" outlineLevel="0" collapsed="false">
      <c r="A8" s="3" t="s">
        <v>328</v>
      </c>
      <c r="B8" s="3" t="s">
        <v>329</v>
      </c>
      <c r="C8" s="3" t="s">
        <v>330</v>
      </c>
      <c r="D8" s="3" t="s">
        <v>180</v>
      </c>
      <c r="E8" s="3" t="s">
        <v>331</v>
      </c>
      <c r="F8" s="3" t="s">
        <v>332</v>
      </c>
      <c r="G8" s="3" t="s">
        <v>23</v>
      </c>
      <c r="H8" s="3" t="s">
        <v>24</v>
      </c>
      <c r="I8" s="3" t="s">
        <v>184</v>
      </c>
    </row>
    <row r="9" customFormat="false" ht="15" hidden="false" customHeight="false" outlineLevel="0" collapsed="false">
      <c r="A9" s="3" t="s">
        <v>333</v>
      </c>
      <c r="B9" s="3" t="s">
        <v>334</v>
      </c>
      <c r="C9" s="3" t="s">
        <v>335</v>
      </c>
      <c r="D9" s="3" t="s">
        <v>221</v>
      </c>
      <c r="E9" s="3" t="s">
        <v>336</v>
      </c>
      <c r="F9" s="3" t="s">
        <v>337</v>
      </c>
      <c r="G9" s="3" t="s">
        <v>23</v>
      </c>
      <c r="H9" s="3" t="s">
        <v>24</v>
      </c>
      <c r="I9" s="3"/>
    </row>
    <row r="10" customFormat="false" ht="15" hidden="false" customHeight="false" outlineLevel="0" collapsed="false">
      <c r="A10" s="3" t="s">
        <v>338</v>
      </c>
      <c r="B10" s="3" t="s">
        <v>339</v>
      </c>
      <c r="C10" s="3" t="s">
        <v>340</v>
      </c>
      <c r="D10" s="3" t="s">
        <v>341</v>
      </c>
      <c r="E10" s="3" t="s">
        <v>342</v>
      </c>
      <c r="F10" s="3" t="s">
        <v>343</v>
      </c>
      <c r="G10" s="3" t="s">
        <v>23</v>
      </c>
      <c r="H10" s="3" t="s">
        <v>24</v>
      </c>
      <c r="I10" s="3"/>
    </row>
    <row r="11" customFormat="false" ht="23.85" hidden="false" customHeight="false" outlineLevel="0" collapsed="false">
      <c r="A11" s="3" t="s">
        <v>344</v>
      </c>
      <c r="B11" s="3" t="s">
        <v>345</v>
      </c>
      <c r="C11" s="3" t="s">
        <v>346</v>
      </c>
      <c r="D11" s="3" t="s">
        <v>347</v>
      </c>
      <c r="E11" s="3" t="s">
        <v>348</v>
      </c>
      <c r="F11" s="3" t="s">
        <v>349</v>
      </c>
      <c r="G11" s="3" t="s">
        <v>23</v>
      </c>
      <c r="H11" s="3" t="s">
        <v>24</v>
      </c>
      <c r="I11" s="3" t="s">
        <v>350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5"/>
    <col collapsed="false" customWidth="true" hidden="false" outlineLevel="0" max="4" min="4" style="0" width="35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3" t="s">
        <v>351</v>
      </c>
      <c r="B2" s="3" t="s">
        <v>159</v>
      </c>
      <c r="C2" s="3" t="s">
        <v>352</v>
      </c>
      <c r="D2" s="3" t="s">
        <v>353</v>
      </c>
      <c r="E2" s="3" t="s">
        <v>354</v>
      </c>
      <c r="F2" s="3" t="s">
        <v>355</v>
      </c>
      <c r="G2" s="3" t="s">
        <v>23</v>
      </c>
      <c r="H2" s="3" t="s">
        <v>24</v>
      </c>
      <c r="I2" s="3"/>
    </row>
    <row r="3" customFormat="false" ht="23.85" hidden="false" customHeight="false" outlineLevel="0" collapsed="false">
      <c r="A3" s="3" t="s">
        <v>356</v>
      </c>
      <c r="B3" s="3" t="s">
        <v>159</v>
      </c>
      <c r="C3" s="3" t="s">
        <v>357</v>
      </c>
      <c r="D3" s="3" t="s">
        <v>358</v>
      </c>
      <c r="E3" s="3" t="s">
        <v>359</v>
      </c>
      <c r="F3" s="3" t="s">
        <v>360</v>
      </c>
      <c r="G3" s="3" t="s">
        <v>23</v>
      </c>
      <c r="H3" s="3" t="s">
        <v>24</v>
      </c>
      <c r="I3" s="3"/>
    </row>
    <row r="4" customFormat="false" ht="15" hidden="false" customHeight="false" outlineLevel="0" collapsed="false">
      <c r="A4" s="3" t="s">
        <v>361</v>
      </c>
      <c r="B4" s="3" t="s">
        <v>159</v>
      </c>
      <c r="C4" s="3" t="s">
        <v>362</v>
      </c>
      <c r="D4" s="3" t="s">
        <v>363</v>
      </c>
      <c r="E4" s="3" t="s">
        <v>364</v>
      </c>
      <c r="F4" s="3" t="s">
        <v>355</v>
      </c>
      <c r="G4" s="3" t="s">
        <v>23</v>
      </c>
      <c r="H4" s="3" t="s">
        <v>24</v>
      </c>
      <c r="I4" s="3"/>
    </row>
    <row r="5" customFormat="false" ht="15" hidden="false" customHeight="false" outlineLevel="0" collapsed="false">
      <c r="A5" s="3" t="s">
        <v>365</v>
      </c>
      <c r="B5" s="3" t="s">
        <v>159</v>
      </c>
      <c r="C5" s="3" t="s">
        <v>162</v>
      </c>
      <c r="D5" s="3" t="s">
        <v>366</v>
      </c>
      <c r="E5" s="3" t="s">
        <v>367</v>
      </c>
      <c r="F5" s="3" t="s">
        <v>368</v>
      </c>
      <c r="G5" s="3" t="s">
        <v>23</v>
      </c>
      <c r="H5" s="3" t="s">
        <v>24</v>
      </c>
      <c r="I5" s="3"/>
    </row>
    <row r="6" customFormat="false" ht="15" hidden="false" customHeight="false" outlineLevel="0" collapsed="false">
      <c r="A6" s="2" t="s">
        <v>369</v>
      </c>
      <c r="B6" s="2" t="s">
        <v>370</v>
      </c>
      <c r="C6" s="2" t="s">
        <v>371</v>
      </c>
      <c r="D6" s="2" t="s">
        <v>372</v>
      </c>
      <c r="E6" s="2" t="s">
        <v>373</v>
      </c>
      <c r="F6" s="2" t="s">
        <v>374</v>
      </c>
      <c r="G6" s="2" t="s">
        <v>15</v>
      </c>
      <c r="H6" s="2" t="s">
        <v>64</v>
      </c>
      <c r="I6" s="2" t="s">
        <v>375</v>
      </c>
    </row>
    <row r="7" customFormat="false" ht="15" hidden="false" customHeight="false" outlineLevel="0" collapsed="false">
      <c r="A7" s="2" t="s">
        <v>376</v>
      </c>
      <c r="B7" s="2" t="s">
        <v>370</v>
      </c>
      <c r="C7" s="2" t="s">
        <v>377</v>
      </c>
      <c r="D7" s="2" t="s">
        <v>378</v>
      </c>
      <c r="E7" s="2" t="s">
        <v>379</v>
      </c>
      <c r="F7" s="2" t="s">
        <v>380</v>
      </c>
      <c r="G7" s="2" t="s">
        <v>15</v>
      </c>
      <c r="H7" s="2" t="s">
        <v>64</v>
      </c>
      <c r="I7" s="2" t="s">
        <v>381</v>
      </c>
    </row>
    <row r="8" customFormat="false" ht="15" hidden="false" customHeight="false" outlineLevel="0" collapsed="false">
      <c r="A8" s="2" t="s">
        <v>382</v>
      </c>
      <c r="B8" s="2" t="s">
        <v>383</v>
      </c>
      <c r="C8" s="2" t="s">
        <v>384</v>
      </c>
      <c r="D8" s="2" t="s">
        <v>61</v>
      </c>
      <c r="E8" s="2" t="s">
        <v>62</v>
      </c>
      <c r="F8" s="2" t="s">
        <v>374</v>
      </c>
      <c r="G8" s="2" t="s">
        <v>15</v>
      </c>
      <c r="H8" s="2" t="s">
        <v>64</v>
      </c>
      <c r="I8" s="2" t="s">
        <v>385</v>
      </c>
    </row>
    <row r="9" customFormat="false" ht="15" hidden="false" customHeight="false" outlineLevel="0" collapsed="false">
      <c r="A9" s="2" t="s">
        <v>386</v>
      </c>
      <c r="B9" s="2" t="s">
        <v>383</v>
      </c>
      <c r="C9" s="2" t="s">
        <v>387</v>
      </c>
      <c r="D9" s="2" t="s">
        <v>388</v>
      </c>
      <c r="E9" s="2" t="s">
        <v>69</v>
      </c>
      <c r="F9" s="2" t="s">
        <v>374</v>
      </c>
      <c r="G9" s="2" t="s">
        <v>15</v>
      </c>
      <c r="H9" s="2" t="s">
        <v>64</v>
      </c>
      <c r="I9" s="2" t="s">
        <v>389</v>
      </c>
    </row>
    <row r="10" customFormat="false" ht="15" hidden="false" customHeight="false" outlineLevel="0" collapsed="false">
      <c r="A10" s="2" t="s">
        <v>390</v>
      </c>
      <c r="B10" s="2" t="s">
        <v>391</v>
      </c>
      <c r="C10" s="2" t="s">
        <v>392</v>
      </c>
      <c r="D10" s="2" t="s">
        <v>393</v>
      </c>
      <c r="E10" s="2" t="s">
        <v>394</v>
      </c>
      <c r="F10" s="2" t="s">
        <v>395</v>
      </c>
      <c r="G10" s="2" t="s">
        <v>15</v>
      </c>
      <c r="H10" s="2" t="s">
        <v>64</v>
      </c>
      <c r="I10" s="2" t="s">
        <v>396</v>
      </c>
    </row>
    <row r="11" customFormat="false" ht="15" hidden="false" customHeight="false" outlineLevel="0" collapsed="false">
      <c r="A11" s="3" t="s">
        <v>397</v>
      </c>
      <c r="B11" s="3" t="s">
        <v>398</v>
      </c>
      <c r="C11" s="3" t="s">
        <v>399</v>
      </c>
      <c r="D11" s="3" t="s">
        <v>400</v>
      </c>
      <c r="E11" s="3" t="s">
        <v>401</v>
      </c>
      <c r="F11" s="3" t="s">
        <v>156</v>
      </c>
      <c r="G11" s="3" t="s">
        <v>23</v>
      </c>
      <c r="H11" s="3" t="s">
        <v>24</v>
      </c>
      <c r="I11" s="3"/>
    </row>
    <row r="12" customFormat="false" ht="15" hidden="false" customHeight="false" outlineLevel="0" collapsed="false">
      <c r="A12" s="3" t="s">
        <v>402</v>
      </c>
      <c r="B12" s="3" t="s">
        <v>403</v>
      </c>
      <c r="C12" s="3" t="s">
        <v>404</v>
      </c>
      <c r="D12" s="3" t="s">
        <v>405</v>
      </c>
      <c r="E12" s="3" t="s">
        <v>406</v>
      </c>
      <c r="F12" s="3" t="s">
        <v>407</v>
      </c>
      <c r="G12" s="3" t="s">
        <v>23</v>
      </c>
      <c r="H12" s="3" t="s">
        <v>24</v>
      </c>
      <c r="I12" s="3"/>
    </row>
    <row r="13" customFormat="false" ht="15" hidden="false" customHeight="false" outlineLevel="0" collapsed="false">
      <c r="A13" s="4" t="s">
        <v>408</v>
      </c>
      <c r="B13" s="4" t="s">
        <v>409</v>
      </c>
      <c r="C13" s="4" t="s">
        <v>410</v>
      </c>
      <c r="D13" s="4" t="s">
        <v>411</v>
      </c>
      <c r="E13" s="4" t="s">
        <v>412</v>
      </c>
      <c r="F13" s="4" t="s">
        <v>413</v>
      </c>
      <c r="G13" s="4" t="s">
        <v>118</v>
      </c>
      <c r="H13" s="4" t="s">
        <v>31</v>
      </c>
      <c r="I13" s="4" t="s">
        <v>414</v>
      </c>
    </row>
    <row r="14" customFormat="false" ht="23.85" hidden="false" customHeight="false" outlineLevel="0" collapsed="false">
      <c r="A14" s="2" t="s">
        <v>415</v>
      </c>
      <c r="B14" s="2" t="s">
        <v>416</v>
      </c>
      <c r="C14" s="2" t="s">
        <v>417</v>
      </c>
      <c r="D14" s="2" t="s">
        <v>418</v>
      </c>
      <c r="E14" s="2" t="s">
        <v>419</v>
      </c>
      <c r="F14" s="2" t="s">
        <v>420</v>
      </c>
      <c r="G14" s="2" t="s">
        <v>15</v>
      </c>
      <c r="H14" s="2" t="s">
        <v>64</v>
      </c>
      <c r="I14" s="2" t="s">
        <v>421</v>
      </c>
    </row>
    <row r="15" customFormat="false" ht="15" hidden="false" customHeight="false" outlineLevel="0" collapsed="false">
      <c r="A15" s="2" t="s">
        <v>422</v>
      </c>
      <c r="B15" s="2" t="s">
        <v>423</v>
      </c>
      <c r="C15" s="2" t="s">
        <v>424</v>
      </c>
      <c r="D15" s="2" t="s">
        <v>266</v>
      </c>
      <c r="E15" s="2" t="s">
        <v>425</v>
      </c>
      <c r="F15" s="2" t="s">
        <v>426</v>
      </c>
      <c r="G15" s="2" t="s">
        <v>15</v>
      </c>
      <c r="H15" s="2" t="s">
        <v>16</v>
      </c>
      <c r="I15" s="2" t="s">
        <v>427</v>
      </c>
    </row>
    <row r="16" customFormat="false" ht="15" hidden="false" customHeight="false" outlineLevel="0" collapsed="false">
      <c r="A16" s="4" t="s">
        <v>428</v>
      </c>
      <c r="B16" s="4" t="s">
        <v>429</v>
      </c>
      <c r="C16" s="4" t="s">
        <v>430</v>
      </c>
      <c r="D16" s="4" t="s">
        <v>431</v>
      </c>
      <c r="E16" s="4" t="s">
        <v>432</v>
      </c>
      <c r="F16" s="4" t="s">
        <v>433</v>
      </c>
      <c r="G16" s="4" t="s">
        <v>118</v>
      </c>
      <c r="H16" s="4" t="s">
        <v>16</v>
      </c>
      <c r="I16" s="4" t="s">
        <v>434</v>
      </c>
    </row>
    <row r="17" customFormat="false" ht="15" hidden="false" customHeight="false" outlineLevel="0" collapsed="false">
      <c r="A17" s="3" t="s">
        <v>435</v>
      </c>
      <c r="B17" s="3" t="s">
        <v>436</v>
      </c>
      <c r="C17" s="3" t="s">
        <v>437</v>
      </c>
      <c r="D17" s="3" t="s">
        <v>438</v>
      </c>
      <c r="E17" s="3" t="s">
        <v>439</v>
      </c>
      <c r="F17" s="3" t="s">
        <v>440</v>
      </c>
      <c r="G17" s="3" t="s">
        <v>23</v>
      </c>
      <c r="H17" s="3" t="s">
        <v>31</v>
      </c>
      <c r="I17" s="3"/>
    </row>
    <row r="18" customFormat="false" ht="23.85" hidden="false" customHeight="false" outlineLevel="0" collapsed="false">
      <c r="A18" s="4" t="s">
        <v>441</v>
      </c>
      <c r="B18" s="4" t="s">
        <v>442</v>
      </c>
      <c r="C18" s="4" t="s">
        <v>443</v>
      </c>
      <c r="D18" s="4" t="s">
        <v>444</v>
      </c>
      <c r="E18" s="4" t="s">
        <v>445</v>
      </c>
      <c r="F18" s="4" t="s">
        <v>446</v>
      </c>
      <c r="G18" s="4" t="s">
        <v>118</v>
      </c>
      <c r="H18" s="4" t="s">
        <v>24</v>
      </c>
      <c r="I18" s="4" t="s">
        <v>447</v>
      </c>
    </row>
    <row r="19" customFormat="false" ht="23.85" hidden="false" customHeight="false" outlineLevel="0" collapsed="false">
      <c r="A19" s="4" t="s">
        <v>448</v>
      </c>
      <c r="B19" s="4" t="s">
        <v>449</v>
      </c>
      <c r="C19" s="4" t="s">
        <v>450</v>
      </c>
      <c r="D19" s="4" t="s">
        <v>451</v>
      </c>
      <c r="E19" s="4" t="s">
        <v>452</v>
      </c>
      <c r="F19" s="4" t="s">
        <v>254</v>
      </c>
      <c r="G19" s="4" t="s">
        <v>118</v>
      </c>
      <c r="H19" s="4" t="s">
        <v>16</v>
      </c>
      <c r="I19" s="4" t="s">
        <v>262</v>
      </c>
    </row>
    <row r="20" customFormat="false" ht="15" hidden="false" customHeight="false" outlineLevel="0" collapsed="false">
      <c r="A20" s="3" t="s">
        <v>453</v>
      </c>
      <c r="B20" s="3" t="s">
        <v>454</v>
      </c>
      <c r="C20" s="3" t="s">
        <v>455</v>
      </c>
      <c r="D20" s="3" t="s">
        <v>456</v>
      </c>
      <c r="E20" s="3" t="s">
        <v>457</v>
      </c>
      <c r="F20" s="3" t="s">
        <v>458</v>
      </c>
      <c r="G20" s="3" t="s">
        <v>23</v>
      </c>
      <c r="H20" s="3" t="s">
        <v>24</v>
      </c>
      <c r="I20" s="3"/>
    </row>
    <row r="21" customFormat="false" ht="15" hidden="false" customHeight="false" outlineLevel="0" collapsed="false">
      <c r="A21" s="2" t="s">
        <v>459</v>
      </c>
      <c r="B21" s="2" t="s">
        <v>460</v>
      </c>
      <c r="C21" s="2" t="s">
        <v>461</v>
      </c>
      <c r="D21" s="2" t="s">
        <v>462</v>
      </c>
      <c r="E21" s="2" t="s">
        <v>463</v>
      </c>
      <c r="F21" s="2" t="s">
        <v>464</v>
      </c>
      <c r="G21" s="2" t="s">
        <v>15</v>
      </c>
      <c r="H21" s="2" t="s">
        <v>64</v>
      </c>
      <c r="I21" s="2" t="s">
        <v>465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5"/>
    <col collapsed="false" customWidth="true" hidden="false" outlineLevel="0" max="4" min="4" style="0" width="35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466</v>
      </c>
      <c r="B2" s="2" t="s">
        <v>467</v>
      </c>
      <c r="C2" s="2" t="s">
        <v>468</v>
      </c>
      <c r="D2" s="2" t="s">
        <v>11</v>
      </c>
      <c r="E2" s="2" t="s">
        <v>469</v>
      </c>
      <c r="F2" s="2" t="s">
        <v>470</v>
      </c>
      <c r="G2" s="2" t="s">
        <v>15</v>
      </c>
      <c r="H2" s="2" t="s">
        <v>16</v>
      </c>
      <c r="I2" s="2" t="s">
        <v>471</v>
      </c>
    </row>
    <row r="3" customFormat="false" ht="15" hidden="false" customHeight="false" outlineLevel="0" collapsed="false">
      <c r="A3" s="4" t="s">
        <v>472</v>
      </c>
      <c r="B3" s="4" t="s">
        <v>467</v>
      </c>
      <c r="C3" s="4" t="s">
        <v>473</v>
      </c>
      <c r="D3" s="4" t="s">
        <v>474</v>
      </c>
      <c r="E3" s="4" t="s">
        <v>469</v>
      </c>
      <c r="F3" s="4" t="s">
        <v>475</v>
      </c>
      <c r="G3" s="4" t="s">
        <v>118</v>
      </c>
      <c r="H3" s="4" t="s">
        <v>31</v>
      </c>
      <c r="I3" s="4" t="s">
        <v>476</v>
      </c>
    </row>
    <row r="4" customFormat="false" ht="15" hidden="false" customHeight="false" outlineLevel="0" collapsed="false">
      <c r="A4" s="2" t="s">
        <v>477</v>
      </c>
      <c r="B4" s="2" t="s">
        <v>478</v>
      </c>
      <c r="C4" s="2" t="s">
        <v>479</v>
      </c>
      <c r="D4" s="2" t="s">
        <v>480</v>
      </c>
      <c r="E4" s="2" t="s">
        <v>481</v>
      </c>
      <c r="F4" s="2" t="s">
        <v>482</v>
      </c>
      <c r="G4" s="2" t="s">
        <v>15</v>
      </c>
      <c r="H4" s="2" t="s">
        <v>16</v>
      </c>
      <c r="I4" s="2" t="s">
        <v>483</v>
      </c>
    </row>
    <row r="5" customFormat="false" ht="15" hidden="false" customHeight="false" outlineLevel="0" collapsed="false">
      <c r="A5" s="2" t="s">
        <v>484</v>
      </c>
      <c r="B5" s="2" t="s">
        <v>478</v>
      </c>
      <c r="C5" s="2" t="s">
        <v>485</v>
      </c>
      <c r="D5" s="2" t="s">
        <v>272</v>
      </c>
      <c r="E5" s="2" t="s">
        <v>273</v>
      </c>
      <c r="F5" s="2" t="s">
        <v>274</v>
      </c>
      <c r="G5" s="2" t="s">
        <v>15</v>
      </c>
      <c r="H5" s="2" t="s">
        <v>16</v>
      </c>
      <c r="I5" s="2" t="s">
        <v>486</v>
      </c>
    </row>
    <row r="6" customFormat="false" ht="15" hidden="false" customHeight="false" outlineLevel="0" collapsed="false">
      <c r="A6" s="2" t="s">
        <v>487</v>
      </c>
      <c r="B6" s="2" t="s">
        <v>488</v>
      </c>
      <c r="C6" s="2" t="s">
        <v>489</v>
      </c>
      <c r="D6" s="2" t="s">
        <v>490</v>
      </c>
      <c r="E6" s="2" t="s">
        <v>491</v>
      </c>
      <c r="F6" s="2" t="s">
        <v>492</v>
      </c>
      <c r="G6" s="2" t="s">
        <v>15</v>
      </c>
      <c r="H6" s="2" t="s">
        <v>31</v>
      </c>
      <c r="I6" s="2" t="s">
        <v>493</v>
      </c>
    </row>
    <row r="7" customFormat="false" ht="15" hidden="false" customHeight="false" outlineLevel="0" collapsed="false">
      <c r="A7" s="3" t="s">
        <v>494</v>
      </c>
      <c r="B7" s="3" t="s">
        <v>488</v>
      </c>
      <c r="C7" s="3" t="s">
        <v>495</v>
      </c>
      <c r="D7" s="3" t="s">
        <v>496</v>
      </c>
      <c r="E7" s="3" t="s">
        <v>497</v>
      </c>
      <c r="F7" s="3" t="s">
        <v>498</v>
      </c>
      <c r="G7" s="3" t="s">
        <v>23</v>
      </c>
      <c r="H7" s="3" t="s">
        <v>31</v>
      </c>
      <c r="I7" s="3" t="s">
        <v>499</v>
      </c>
    </row>
    <row r="8" customFormat="false" ht="15" hidden="false" customHeight="false" outlineLevel="0" collapsed="false">
      <c r="A8" s="2" t="s">
        <v>500</v>
      </c>
      <c r="B8" s="2" t="s">
        <v>501</v>
      </c>
      <c r="C8" s="2" t="s">
        <v>502</v>
      </c>
      <c r="D8" s="2" t="s">
        <v>503</v>
      </c>
      <c r="E8" s="2" t="s">
        <v>504</v>
      </c>
      <c r="F8" s="2" t="s">
        <v>505</v>
      </c>
      <c r="G8" s="2" t="s">
        <v>15</v>
      </c>
      <c r="H8" s="2" t="s">
        <v>16</v>
      </c>
      <c r="I8" s="2" t="s">
        <v>506</v>
      </c>
    </row>
    <row r="9" customFormat="false" ht="15" hidden="false" customHeight="false" outlineLevel="0" collapsed="false">
      <c r="A9" s="3" t="s">
        <v>507</v>
      </c>
      <c r="B9" s="3" t="s">
        <v>501</v>
      </c>
      <c r="C9" s="3" t="s">
        <v>508</v>
      </c>
      <c r="D9" s="3" t="s">
        <v>509</v>
      </c>
      <c r="E9" s="3" t="s">
        <v>510</v>
      </c>
      <c r="F9" s="3" t="s">
        <v>511</v>
      </c>
      <c r="G9" s="3" t="s">
        <v>23</v>
      </c>
      <c r="H9" s="3" t="s">
        <v>24</v>
      </c>
      <c r="I9" s="3"/>
    </row>
    <row r="10" customFormat="false" ht="15" hidden="false" customHeight="false" outlineLevel="0" collapsed="false">
      <c r="A10" s="3" t="s">
        <v>512</v>
      </c>
      <c r="B10" s="3" t="s">
        <v>513</v>
      </c>
      <c r="C10" s="3" t="s">
        <v>514</v>
      </c>
      <c r="D10" s="3" t="s">
        <v>515</v>
      </c>
      <c r="E10" s="3" t="s">
        <v>516</v>
      </c>
      <c r="F10" s="3" t="s">
        <v>517</v>
      </c>
      <c r="G10" s="3" t="s">
        <v>23</v>
      </c>
      <c r="H10" s="3" t="s">
        <v>24</v>
      </c>
      <c r="I10" s="3"/>
    </row>
    <row r="11" customFormat="false" ht="15" hidden="false" customHeight="false" outlineLevel="0" collapsed="false">
      <c r="A11" s="3" t="s">
        <v>518</v>
      </c>
      <c r="B11" s="3" t="s">
        <v>513</v>
      </c>
      <c r="C11" s="3" t="s">
        <v>519</v>
      </c>
      <c r="D11" s="3" t="s">
        <v>515</v>
      </c>
      <c r="E11" s="3" t="s">
        <v>520</v>
      </c>
      <c r="F11" s="3" t="s">
        <v>521</v>
      </c>
      <c r="G11" s="3" t="s">
        <v>23</v>
      </c>
      <c r="H11" s="3" t="s">
        <v>31</v>
      </c>
      <c r="I11" s="3"/>
    </row>
    <row r="12" customFormat="false" ht="15" hidden="false" customHeight="false" outlineLevel="0" collapsed="false">
      <c r="A12" s="2" t="s">
        <v>522</v>
      </c>
      <c r="B12" s="2" t="s">
        <v>523</v>
      </c>
      <c r="C12" s="2" t="s">
        <v>524</v>
      </c>
      <c r="D12" s="2" t="s">
        <v>525</v>
      </c>
      <c r="E12" s="2" t="s">
        <v>526</v>
      </c>
      <c r="F12" s="2" t="s">
        <v>527</v>
      </c>
      <c r="G12" s="2" t="s">
        <v>15</v>
      </c>
      <c r="H12" s="2" t="s">
        <v>16</v>
      </c>
      <c r="I12" s="2" t="s">
        <v>528</v>
      </c>
    </row>
    <row r="13" customFormat="false" ht="23.85" hidden="false" customHeight="false" outlineLevel="0" collapsed="false">
      <c r="A13" s="4" t="s">
        <v>529</v>
      </c>
      <c r="B13" s="4" t="s">
        <v>530</v>
      </c>
      <c r="C13" s="4" t="s">
        <v>531</v>
      </c>
      <c r="D13" s="4" t="s">
        <v>532</v>
      </c>
      <c r="E13" s="4" t="s">
        <v>533</v>
      </c>
      <c r="F13" s="4" t="s">
        <v>534</v>
      </c>
      <c r="G13" s="4" t="s">
        <v>118</v>
      </c>
      <c r="H13" s="4" t="s">
        <v>31</v>
      </c>
      <c r="I13" s="4" t="s">
        <v>535</v>
      </c>
    </row>
    <row r="14" customFormat="false" ht="15" hidden="false" customHeight="false" outlineLevel="0" collapsed="false">
      <c r="A14" s="2" t="s">
        <v>536</v>
      </c>
      <c r="B14" s="2" t="s">
        <v>537</v>
      </c>
      <c r="C14" s="2" t="s">
        <v>538</v>
      </c>
      <c r="D14" s="2" t="s">
        <v>539</v>
      </c>
      <c r="E14" s="2" t="s">
        <v>540</v>
      </c>
      <c r="F14" s="2" t="s">
        <v>541</v>
      </c>
      <c r="G14" s="2" t="s">
        <v>15</v>
      </c>
      <c r="H14" s="2" t="s">
        <v>16</v>
      </c>
      <c r="I14" s="2" t="s">
        <v>542</v>
      </c>
    </row>
    <row r="15" customFormat="false" ht="15" hidden="false" customHeight="false" outlineLevel="0" collapsed="false">
      <c r="A15" s="2" t="s">
        <v>543</v>
      </c>
      <c r="B15" s="2" t="s">
        <v>544</v>
      </c>
      <c r="C15" s="2" t="s">
        <v>545</v>
      </c>
      <c r="D15" s="2" t="s">
        <v>546</v>
      </c>
      <c r="E15" s="2" t="s">
        <v>547</v>
      </c>
      <c r="F15" s="2" t="s">
        <v>548</v>
      </c>
      <c r="G15" s="2" t="s">
        <v>15</v>
      </c>
      <c r="H15" s="2" t="s">
        <v>16</v>
      </c>
      <c r="I15" s="2" t="s">
        <v>549</v>
      </c>
    </row>
    <row r="16" customFormat="false" ht="15" hidden="false" customHeight="false" outlineLevel="0" collapsed="false">
      <c r="A16" s="4" t="s">
        <v>550</v>
      </c>
      <c r="B16" s="4" t="s">
        <v>551</v>
      </c>
      <c r="C16" s="4" t="s">
        <v>552</v>
      </c>
      <c r="D16" s="4" t="s">
        <v>553</v>
      </c>
      <c r="E16" s="4" t="s">
        <v>554</v>
      </c>
      <c r="F16" s="4" t="s">
        <v>555</v>
      </c>
      <c r="G16" s="4" t="s">
        <v>118</v>
      </c>
      <c r="H16" s="4" t="s">
        <v>24</v>
      </c>
      <c r="I16" s="4" t="s">
        <v>556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5" t="s">
        <v>557</v>
      </c>
    </row>
    <row r="3" customFormat="false" ht="15" hidden="false" customHeight="false" outlineLevel="0" collapsed="false">
      <c r="A3" s="0" t="s">
        <v>558</v>
      </c>
    </row>
    <row r="4" customFormat="false" ht="15" hidden="false" customHeight="false" outlineLevel="0" collapsed="false">
      <c r="A4" s="6" t="s">
        <v>559</v>
      </c>
      <c r="B4" s="0" t="n">
        <v>25</v>
      </c>
    </row>
    <row r="5" customFormat="false" ht="15" hidden="false" customHeight="false" outlineLevel="0" collapsed="false">
      <c r="A5" s="6" t="s">
        <v>560</v>
      </c>
      <c r="B5" s="0" t="n">
        <v>20</v>
      </c>
    </row>
    <row r="6" customFormat="false" ht="15" hidden="false" customHeight="false" outlineLevel="0" collapsed="false">
      <c r="A6" s="6" t="s">
        <v>561</v>
      </c>
      <c r="B6" s="0" t="n">
        <v>10</v>
      </c>
    </row>
    <row r="7" customFormat="false" ht="15" hidden="false" customHeight="false" outlineLevel="0" collapsed="false">
      <c r="A7" s="6" t="s">
        <v>562</v>
      </c>
      <c r="B7" s="0" t="n">
        <v>20</v>
      </c>
    </row>
    <row r="8" customFormat="false" ht="15" hidden="false" customHeight="false" outlineLevel="0" collapsed="false">
      <c r="A8" s="6" t="s">
        <v>563</v>
      </c>
      <c r="B8" s="0" t="n">
        <v>15</v>
      </c>
    </row>
    <row r="9" customFormat="false" ht="15" hidden="false" customHeight="false" outlineLevel="0" collapsed="false">
      <c r="A9" s="0" t="s">
        <v>564</v>
      </c>
      <c r="B9" s="0" t="n">
        <f aca="false">SUM(B4:B8)</f>
        <v>90</v>
      </c>
    </row>
    <row r="11" customFormat="false" ht="15" hidden="false" customHeight="false" outlineLevel="0" collapsed="false">
      <c r="A11" s="0" t="s">
        <v>565</v>
      </c>
    </row>
    <row r="12" customFormat="false" ht="15" hidden="false" customHeight="false" outlineLevel="0" collapsed="false">
      <c r="A12" s="0" t="s">
        <v>566</v>
      </c>
      <c r="B12" s="0" t="n">
        <f aca="false">COUNTIF(USR!G2:G26,"PASS")+COUNTIF(ADM!G2:G21,"PASS")+COUNTIF(POS!G2:G11,"PASS")+COUNTIF(SEC!G2:G21,"PASS")+COUNTIF(PERF!G2:G16,"PASS")</f>
        <v>37</v>
      </c>
    </row>
    <row r="13" customFormat="false" ht="15" hidden="false" customHeight="false" outlineLevel="0" collapsed="false">
      <c r="A13" s="0" t="s">
        <v>567</v>
      </c>
      <c r="B13" s="0" t="n">
        <f aca="false">COUNTIF(USR!G2:G26,"FAIL")+COUNTIF(ADM!G2:G21,"FAIL")+COUNTIF(POS!G2:G11,"FAIL")+COUNTIF(SEC!G2:G21,"FAIL")+COUNTIF(PERF!G2:G16,"FAIL")</f>
        <v>37</v>
      </c>
    </row>
    <row r="14" customFormat="false" ht="15" hidden="false" customHeight="false" outlineLevel="0" collapsed="false">
      <c r="A14" s="0" t="s">
        <v>568</v>
      </c>
      <c r="B14" s="0" t="n">
        <f aca="false">COUNTIF(USR!G2:G26,"BLOCKED")+COUNTIF(ADM!G2:G21,"BLOCKED")+COUNTIF(POS!G2:G11,"BLOCKED")+COUNTIF(SEC!G2:G21,"BLOCKED")+COUNTIF(PERF!G2:G16,"BLOCKED")</f>
        <v>16</v>
      </c>
    </row>
    <row r="16" customFormat="false" ht="15" hidden="false" customHeight="false" outlineLevel="0" collapsed="false">
      <c r="A16" s="0" t="s">
        <v>569</v>
      </c>
      <c r="B16" s="7" t="n">
        <f aca="false">B12/(B12+B13+B14)</f>
        <v>0.411111111111111</v>
      </c>
    </row>
    <row r="18" customFormat="false" ht="15" hidden="false" customHeight="false" outlineLevel="0" collapsed="false">
      <c r="A18" s="0" t="s">
        <v>570</v>
      </c>
    </row>
    <row r="19" customFormat="false" ht="15" hidden="false" customHeight="false" outlineLevel="0" collapsed="false">
      <c r="A19" s="0" t="s">
        <v>571</v>
      </c>
    </row>
    <row r="20" customFormat="false" ht="15" hidden="false" customHeight="false" outlineLevel="0" collapsed="false">
      <c r="A20" s="0" t="s">
        <v>572</v>
      </c>
    </row>
    <row r="21" customFormat="false" ht="15" hidden="false" customHeight="false" outlineLevel="0" collapsed="false">
      <c r="A21" s="0" t="s">
        <v>573</v>
      </c>
    </row>
    <row r="22" customFormat="false" ht="15" hidden="false" customHeight="false" outlineLevel="0" collapsed="false">
      <c r="A22" s="0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2026-04-04T18:20:27Z</dcterms:created>
  <dc:creator>openpyxl</dc:creator>
  <dc:description/>
  <dc:language>en-US</dc:language>
  <cp:lastModifiedBy/>
  <dcterms:modified xsi:type="dcterms:W3CDTF">2026-04-04T18:20:27Z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