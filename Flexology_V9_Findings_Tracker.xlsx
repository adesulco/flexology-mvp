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V5-V9 Trend" sheetId="2" state="visible" r:id="rId4"/>
    <sheet name="Quick Wins" sheetId="3" state="visible" r:id="rId5"/>
    <sheet name="Improvement Roadmap" sheetId="4" state="visible" r:id="rId6"/>
    <sheet name="Summary Dashboard" sheetId="5" state="visible" r:id="rId7"/>
  </sheets>
  <definedNames>
    <definedName function="false" hidden="true" localSheetId="0" name="_xlnm._FilterDatabase" vbProcedure="false">'All Findings'!$A$1:$J$1</definedName>
    <definedName function="false" hidden="true" localSheetId="3" name="_xlnm._FilterDatabase" vbProcedure="false">'Improvement Roadmap'!$A$1:$F$1</definedName>
    <definedName function="false" hidden="true" localSheetId="2" name="_xlnm._FilterDatabase" vbProcedure="false">'Quick Wins'!$A$1:$J$1</definedName>
    <definedName function="false" hidden="true" localSheetId="1" name="_xlnm._FilterDatabase" vbProcedure="false">'V5-V9 Trend'!$A$1:$G$1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<sst xmlns="http://schemas.openxmlformats.org/spreadsheetml/2006/main" count="320" uniqueCount="130">
  <si>
    <t xml:space="preserve">ID</t>
  </si>
  <si>
    <t xml:space="preserve">Category</t>
  </si>
  <si>
    <t xml:space="preserve">Title</t>
  </si>
  <si>
    <t xml:space="preserve">Description</t>
  </si>
  <si>
    <t xml:space="preserve">Severity</t>
  </si>
  <si>
    <t xml:space="preserve">Status</t>
  </si>
  <si>
    <t xml:space="preserve">V8 Status</t>
  </si>
  <si>
    <t xml:space="preserve">Cycles Open</t>
  </si>
  <si>
    <t xml:space="preserve">Owner</t>
  </si>
  <si>
    <t xml:space="preserve">Recommendation</t>
  </si>
  <si>
    <t xml:space="preserve">V9-M01</t>
  </si>
  <si>
    <t xml:space="preserve">Performance</t>
  </si>
  <si>
    <t xml:space="preserve">Homepage FCP 11.9s</t>
  </si>
  <si>
    <t xml:space="preserve">Improved from 48.6s but still 6.6x above 1800ms target. TTFB 3631ms.</t>
  </si>
  <si>
    <t xml:space="preserve">High</t>
  </si>
  <si>
    <t xml:space="preserve">Partial</t>
  </si>
  <si>
    <t xml:space="preserve">Was Critical</t>
  </si>
  <si>
    <t xml:space="preserve">5 (V5-V9)</t>
  </si>
  <si>
    <t xml:space="preserve">Dev</t>
  </si>
  <si>
    <t xml:space="preserve">Further optimize GSAP lazy loading, add Vercel warming</t>
  </si>
  <si>
    <t xml:space="preserve">V9-M02</t>
  </si>
  <si>
    <t xml:space="preserve">Data</t>
  </si>
  <si>
    <t xml:space="preserve">Revenue Dashboard</t>
  </si>
  <si>
    <t xml:space="preserve">KPI Rp 475.000 matches leaderboard sum</t>
  </si>
  <si>
    <t xml:space="preserve">Fixed</t>
  </si>
  <si>
    <t xml:space="preserve">Resolved</t>
  </si>
  <si>
    <t xml:space="preserve">No action</t>
  </si>
  <si>
    <t xml:space="preserve">V9-M03</t>
  </si>
  <si>
    <t xml:space="preserve">Security</t>
  </si>
  <si>
    <t xml:space="preserve">Credential Blocklist</t>
  </si>
  <si>
    <t xml:space="preserve">0000/admin blocked but causes server crash, infinite spinner, credentials in URL</t>
  </si>
  <si>
    <t xml:space="preserve">Critical</t>
  </si>
  <si>
    <t xml:space="preserve">Return clean error response, use POST not GET for login</t>
  </si>
  <si>
    <t xml:space="preserve">V9-M04</t>
  </si>
  <si>
    <t xml:space="preserve">UX</t>
  </si>
  <si>
    <t xml:space="preserve">Booking Visual Feedback</t>
  </si>
  <si>
    <t xml:space="preserve">Checkmark, border, aria-pressed working</t>
  </si>
  <si>
    <t xml:space="preserve">Was High</t>
  </si>
  <si>
    <t xml:space="preserve">V9-M05</t>
  </si>
  <si>
    <t xml:space="preserve">Security Headers</t>
  </si>
  <si>
    <t xml:space="preserve">All 6 headers present (CSP, XFO, XCTO, RP, PP, HSTS)</t>
  </si>
  <si>
    <t xml:space="preserve">V9-M06</t>
  </si>
  <si>
    <t xml:space="preserve">XSS Sanitization</t>
  </si>
  <si>
    <t xml:space="preserve">Server crash on XSS input instead of clean rejection</t>
  </si>
  <si>
    <t xml:space="preserve">3 (V7-V9)</t>
  </si>
  <si>
    <t xml:space="preserve">Add try-catch around sanitizer, return validation error</t>
  </si>
  <si>
    <t xml:space="preserve">V9-M07</t>
  </si>
  <si>
    <t xml:space="preserve">Rate Limiting</t>
  </si>
  <si>
    <t xml:space="preserve">Cannot verify — login crashes before rate limiter executes</t>
  </si>
  <si>
    <t xml:space="preserve">Medium</t>
  </si>
  <si>
    <t xml:space="preserve">Inconclusive</t>
  </si>
  <si>
    <t xml:space="preserve">Fix login crash first, then retest</t>
  </si>
  <si>
    <t xml:space="preserve">V9-M08</t>
  </si>
  <si>
    <t xml:space="preserve">Password Toggle</t>
  </si>
  <si>
    <t xml:space="preserve">Eye icon on login and register</t>
  </si>
  <si>
    <t xml:space="preserve">Was Medium</t>
  </si>
  <si>
    <t xml:space="preserve">V9-M09</t>
  </si>
  <si>
    <t xml:space="preserve">Feature</t>
  </si>
  <si>
    <t xml:space="preserve">POS in Sidebar</t>
  </si>
  <si>
    <t xml:space="preserve">Link present, navigates to placeholder</t>
  </si>
  <si>
    <t xml:space="preserve">Build POS module</t>
  </si>
  <si>
    <t xml:space="preserve">V9-M10</t>
  </si>
  <si>
    <t xml:space="preserve">Currency Format</t>
  </si>
  <si>
    <t xml:space="preserve">Partially fixed. Booking correct, KPI shows "4,00" for integers</t>
  </si>
  <si>
    <t xml:space="preserve">Low</t>
  </si>
  <si>
    <t xml:space="preserve">Was Low</t>
  </si>
  <si>
    <t xml:space="preserve">Use Math.round for integer counts</t>
  </si>
  <si>
    <t xml:space="preserve">V9-M11</t>
  </si>
  <si>
    <t xml:space="preserve">Session/Auth</t>
  </si>
  <si>
    <t xml:space="preserve">Admin accessible WITHOUT login via direct URL</t>
  </si>
  <si>
    <t xml:space="preserve">Regressed</t>
  </si>
  <si>
    <t xml:space="preserve">2 (V8-V9)</t>
  </si>
  <si>
    <t xml:space="preserve">Fix middleware matcher, add auth check</t>
  </si>
  <si>
    <t xml:space="preserve">V9-M12</t>
  </si>
  <si>
    <t xml:space="preserve">Build</t>
  </si>
  <si>
    <t xml:space="preserve">Version Mismatch</t>
  </si>
  <si>
    <t xml:space="preserve">Admin shows v0.9.1, report claims v0.9.3</t>
  </si>
  <si>
    <t xml:space="preserve">New</t>
  </si>
  <si>
    <t xml:space="preserve">N/A</t>
  </si>
  <si>
    <t xml:space="preserve">1</t>
  </si>
  <si>
    <t xml:space="preserve">Verify build pipeline</t>
  </si>
  <si>
    <t xml:space="preserve">V9-N01</t>
  </si>
  <si>
    <t xml:space="preserve">Stability</t>
  </si>
  <si>
    <t xml:space="preserve">Admin Pages 500</t>
  </si>
  <si>
    <t xml:space="preserve">/staff, /settings, /outlets return 500 errors</t>
  </si>
  <si>
    <t xml:space="preserve">Debug server components on these routes</t>
  </si>
  <si>
    <t xml:space="preserve">V9-N02</t>
  </si>
  <si>
    <t xml:space="preserve">Credentials in URL</t>
  </si>
  <si>
    <t xml:space="preserve">Login redirects to /login?phone=X&amp;password=Y</t>
  </si>
  <si>
    <t xml:space="preserve">Use POST method, never put credentials in URL</t>
  </si>
  <si>
    <t xml:space="preserve">V9-N03</t>
  </si>
  <si>
    <t xml:space="preserve">Server Component Crashes</t>
  </si>
  <si>
    <t xml:space="preserve">Unhandled errors on login block + registration sanitize</t>
  </si>
  <si>
    <t xml:space="preserve">Add error boundaries and try-catch</t>
  </si>
  <si>
    <t xml:space="preserve">V9-N04</t>
  </si>
  <si>
    <t xml:space="preserve">Admin No Auth Required</t>
  </si>
  <si>
    <t xml:space="preserve">/admin loads full dashboard without any authentication</t>
  </si>
  <si>
    <t xml:space="preserve">Fix middleware to enforce auth</t>
  </si>
  <si>
    <t xml:space="preserve">V9-N05</t>
  </si>
  <si>
    <t xml:space="preserve">Profile 500 Error</t>
  </si>
  <si>
    <t xml:space="preserve">/profile returns 500 error</t>
  </si>
  <si>
    <t xml:space="preserve">Fix server component</t>
  </si>
  <si>
    <t xml:space="preserve">V9-N06</t>
  </si>
  <si>
    <t xml:space="preserve">Rewards Redirect</t>
  </si>
  <si>
    <t xml:space="preserve">/rewards redirects to homepage</t>
  </si>
  <si>
    <t xml:space="preserve">Fix rewards page routing</t>
  </si>
  <si>
    <t xml:space="preserve">Audit</t>
  </si>
  <si>
    <t xml:space="preserve">Score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</si>
  <si>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</si>
  <si>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</si>
  <si>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</si>
  <si>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</si>
  <si>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</si>
  <si>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Phase</t>
  </si>
  <si>
    <t xml:space="preserve">Finding ID</t>
  </si>
  <si>
    <t xml:space="preserve">Timeline</t>
  </si>
  <si>
    <t xml:space="preserve">Phase 1: Critical</t>
  </si>
  <si>
    <t xml:space="preserve">Immediate</t>
  </si>
  <si>
    <t xml:space="preserve">Phase 2: High</t>
  </si>
  <si>
    <t xml:space="preserve">Week 1</t>
  </si>
  <si>
    <t xml:space="preserve">Phase 3: Polish</t>
  </si>
  <si>
    <t xml:space="preserve">Week 2</t>
  </si>
  <si>
    <t xml:space="preserve">Flexology V9 Audit Summary</t>
  </si>
  <si>
    <t xml:space="preserve">Total Findings:</t>
  </si>
  <si>
    <t xml:space="preserve">Critical Issues:</t>
  </si>
  <si>
    <t xml:space="preserve">High Issues:</t>
  </si>
  <si>
    <t xml:space="preserve">Medium Issues:</t>
  </si>
  <si>
    <t xml:space="preserve">Low Issues:</t>
  </si>
  <si>
    <t xml:space="preserve">Fixed Items:</t>
  </si>
  <si>
    <t xml:space="preserve">Overall Score: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</si>
</sst>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36609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A500"/>
        <bgColor rgb="FFFFCC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36609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/>
      <c r="F3" s="3" t="s">
        <v>24</v>
      </c>
      <c r="G3" s="3" t="s">
        <v>16</v>
      </c>
      <c r="H3" s="3" t="s">
        <v>25</v>
      </c>
      <c r="I3" s="3"/>
      <c r="J3" s="3" t="s">
        <v>26</v>
      </c>
    </row>
    <row r="4" customFormat="false" ht="23.85" hidden="false" customHeight="false" outlineLevel="0" collapsed="false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32</v>
      </c>
    </row>
    <row r="5" customFormat="false" ht="15" hidden="false" customHeight="fals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/>
      <c r="F5" s="3" t="s">
        <v>24</v>
      </c>
      <c r="G5" s="3" t="s">
        <v>37</v>
      </c>
      <c r="H5" s="3" t="s">
        <v>25</v>
      </c>
      <c r="I5" s="3"/>
      <c r="J5" s="3" t="s">
        <v>26</v>
      </c>
    </row>
    <row r="6" customFormat="false" ht="23.85" hidden="false" customHeight="false" outlineLevel="0" collapsed="false">
      <c r="A6" s="3" t="s">
        <v>38</v>
      </c>
      <c r="B6" s="3" t="s">
        <v>28</v>
      </c>
      <c r="C6" s="3" t="s">
        <v>39</v>
      </c>
      <c r="D6" s="3" t="s">
        <v>40</v>
      </c>
      <c r="E6" s="3"/>
      <c r="F6" s="3" t="s">
        <v>24</v>
      </c>
      <c r="G6" s="3" t="s">
        <v>37</v>
      </c>
      <c r="H6" s="3" t="s">
        <v>25</v>
      </c>
      <c r="I6" s="3"/>
      <c r="J6" s="3" t="s">
        <v>26</v>
      </c>
    </row>
    <row r="7" customFormat="false" ht="23.85" hidden="false" customHeight="false" outlineLevel="0" collapsed="false">
      <c r="A7" s="2" t="s">
        <v>41</v>
      </c>
      <c r="B7" s="2" t="s">
        <v>28</v>
      </c>
      <c r="C7" s="2" t="s">
        <v>42</v>
      </c>
      <c r="D7" s="2" t="s">
        <v>43</v>
      </c>
      <c r="E7" s="2" t="s">
        <v>14</v>
      </c>
      <c r="F7" s="2" t="s">
        <v>15</v>
      </c>
      <c r="G7" s="2" t="s">
        <v>37</v>
      </c>
      <c r="H7" s="2" t="s">
        <v>44</v>
      </c>
      <c r="I7" s="2" t="s">
        <v>18</v>
      </c>
      <c r="J7" s="2" t="s">
        <v>45</v>
      </c>
    </row>
    <row r="8" customFormat="false" ht="23.85" hidden="false" customHeight="false" outlineLevel="0" collapsed="false">
      <c r="A8" s="5" t="s">
        <v>46</v>
      </c>
      <c r="B8" s="5" t="s">
        <v>28</v>
      </c>
      <c r="C8" s="5" t="s">
        <v>47</v>
      </c>
      <c r="D8" s="5" t="s">
        <v>48</v>
      </c>
      <c r="E8" s="5" t="s">
        <v>49</v>
      </c>
      <c r="F8" s="5" t="s">
        <v>50</v>
      </c>
      <c r="G8" s="5" t="s">
        <v>37</v>
      </c>
      <c r="H8" s="5" t="s">
        <v>44</v>
      </c>
      <c r="I8" s="5" t="s">
        <v>18</v>
      </c>
      <c r="J8" s="5" t="s">
        <v>51</v>
      </c>
    </row>
    <row r="9" customFormat="false" ht="15" hidden="false" customHeight="false" outlineLevel="0" collapsed="false">
      <c r="A9" s="3" t="s">
        <v>52</v>
      </c>
      <c r="B9" s="3" t="s">
        <v>34</v>
      </c>
      <c r="C9" s="3" t="s">
        <v>53</v>
      </c>
      <c r="D9" s="3" t="s">
        <v>54</v>
      </c>
      <c r="E9" s="3"/>
      <c r="F9" s="3" t="s">
        <v>24</v>
      </c>
      <c r="G9" s="3" t="s">
        <v>55</v>
      </c>
      <c r="H9" s="3" t="s">
        <v>25</v>
      </c>
      <c r="I9" s="3"/>
      <c r="J9" s="3" t="s">
        <v>26</v>
      </c>
    </row>
    <row r="10" customFormat="false" ht="15" hidden="false" customHeight="false" outlineLevel="0" collapsed="false">
      <c r="A10" s="3" t="s">
        <v>56</v>
      </c>
      <c r="B10" s="3" t="s">
        <v>57</v>
      </c>
      <c r="C10" s="3" t="s">
        <v>58</v>
      </c>
      <c r="D10" s="3" t="s">
        <v>59</v>
      </c>
      <c r="E10" s="3"/>
      <c r="F10" s="3" t="s">
        <v>24</v>
      </c>
      <c r="G10" s="3" t="s">
        <v>55</v>
      </c>
      <c r="H10" s="3" t="s">
        <v>25</v>
      </c>
      <c r="I10" s="3"/>
      <c r="J10" s="3" t="s">
        <v>60</v>
      </c>
    </row>
    <row r="11" customFormat="false" ht="23.85" hidden="false" customHeight="false" outlineLevel="0" collapsed="false">
      <c r="A11" s="3" t="s">
        <v>61</v>
      </c>
      <c r="B11" s="3" t="s">
        <v>34</v>
      </c>
      <c r="C11" s="3" t="s">
        <v>62</v>
      </c>
      <c r="D11" s="3" t="s">
        <v>63</v>
      </c>
      <c r="E11" s="3" t="s">
        <v>64</v>
      </c>
      <c r="F11" s="3" t="s">
        <v>15</v>
      </c>
      <c r="G11" s="3" t="s">
        <v>65</v>
      </c>
      <c r="H11" s="3" t="s">
        <v>44</v>
      </c>
      <c r="I11" s="3" t="s">
        <v>18</v>
      </c>
      <c r="J11" s="3" t="s">
        <v>66</v>
      </c>
    </row>
    <row r="12" customFormat="false" ht="23.85" hidden="false" customHeight="false" outlineLevel="0" collapsed="false">
      <c r="A12" s="4" t="s">
        <v>67</v>
      </c>
      <c r="B12" s="4" t="s">
        <v>28</v>
      </c>
      <c r="C12" s="4" t="s">
        <v>68</v>
      </c>
      <c r="D12" s="4" t="s">
        <v>69</v>
      </c>
      <c r="E12" s="4" t="s">
        <v>31</v>
      </c>
      <c r="F12" s="4" t="s">
        <v>70</v>
      </c>
      <c r="G12" s="4" t="s">
        <v>37</v>
      </c>
      <c r="H12" s="4" t="s">
        <v>71</v>
      </c>
      <c r="I12" s="4" t="s">
        <v>18</v>
      </c>
      <c r="J12" s="4" t="s">
        <v>72</v>
      </c>
    </row>
    <row r="13" customFormat="false" ht="15" hidden="false" customHeight="false" outlineLevel="0" collapsed="false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64</v>
      </c>
      <c r="F13" s="3" t="s">
        <v>77</v>
      </c>
      <c r="G13" s="3" t="s">
        <v>78</v>
      </c>
      <c r="H13" s="3" t="s">
        <v>79</v>
      </c>
      <c r="I13" s="3" t="s">
        <v>18</v>
      </c>
      <c r="J13" s="3" t="s">
        <v>80</v>
      </c>
    </row>
    <row r="14" customFormat="false" ht="23.85" hidden="false" customHeight="false" outlineLevel="0" collapsed="false">
      <c r="A14" s="4" t="s">
        <v>81</v>
      </c>
      <c r="B14" s="4" t="s">
        <v>82</v>
      </c>
      <c r="C14" s="4" t="s">
        <v>83</v>
      </c>
      <c r="D14" s="4" t="s">
        <v>84</v>
      </c>
      <c r="E14" s="4" t="s">
        <v>31</v>
      </c>
      <c r="F14" s="4" t="s">
        <v>77</v>
      </c>
      <c r="G14" s="4" t="s">
        <v>78</v>
      </c>
      <c r="H14" s="4" t="s">
        <v>79</v>
      </c>
      <c r="I14" s="4" t="s">
        <v>18</v>
      </c>
      <c r="J14" s="4" t="s">
        <v>85</v>
      </c>
    </row>
    <row r="15" customFormat="false" ht="23.85" hidden="false" customHeight="false" outlineLevel="0" collapsed="false">
      <c r="A15" s="4" t="s">
        <v>86</v>
      </c>
      <c r="B15" s="4" t="s">
        <v>28</v>
      </c>
      <c r="C15" s="4" t="s">
        <v>87</v>
      </c>
      <c r="D15" s="4" t="s">
        <v>88</v>
      </c>
      <c r="E15" s="4" t="s">
        <v>31</v>
      </c>
      <c r="F15" s="4" t="s">
        <v>77</v>
      </c>
      <c r="G15" s="4" t="s">
        <v>78</v>
      </c>
      <c r="H15" s="4" t="s">
        <v>79</v>
      </c>
      <c r="I15" s="4" t="s">
        <v>18</v>
      </c>
      <c r="J15" s="4" t="s">
        <v>89</v>
      </c>
    </row>
    <row r="16" customFormat="false" ht="23.85" hidden="false" customHeight="false" outlineLevel="0" collapsed="false">
      <c r="A16" s="2" t="s">
        <v>90</v>
      </c>
      <c r="B16" s="2" t="s">
        <v>82</v>
      </c>
      <c r="C16" s="2" t="s">
        <v>91</v>
      </c>
      <c r="D16" s="2" t="s">
        <v>92</v>
      </c>
      <c r="E16" s="2" t="s">
        <v>14</v>
      </c>
      <c r="F16" s="2" t="s">
        <v>77</v>
      </c>
      <c r="G16" s="2" t="s">
        <v>78</v>
      </c>
      <c r="H16" s="2" t="s">
        <v>79</v>
      </c>
      <c r="I16" s="2" t="s">
        <v>18</v>
      </c>
      <c r="J16" s="2" t="s">
        <v>93</v>
      </c>
    </row>
    <row r="17" customFormat="false" ht="23.85" hidden="false" customHeight="false" outlineLevel="0" collapsed="false">
      <c r="A17" s="4" t="s">
        <v>94</v>
      </c>
      <c r="B17" s="4" t="s">
        <v>28</v>
      </c>
      <c r="C17" s="4" t="s">
        <v>95</v>
      </c>
      <c r="D17" s="4" t="s">
        <v>96</v>
      </c>
      <c r="E17" s="4" t="s">
        <v>31</v>
      </c>
      <c r="F17" s="4" t="s">
        <v>77</v>
      </c>
      <c r="G17" s="4" t="s">
        <v>78</v>
      </c>
      <c r="H17" s="4" t="s">
        <v>79</v>
      </c>
      <c r="I17" s="4" t="s">
        <v>18</v>
      </c>
      <c r="J17" s="4" t="s">
        <v>97</v>
      </c>
    </row>
    <row r="18" customFormat="false" ht="15" hidden="false" customHeight="false" outlineLevel="0" collapsed="false">
      <c r="A18" s="2" t="s">
        <v>98</v>
      </c>
      <c r="B18" s="2" t="s">
        <v>82</v>
      </c>
      <c r="C18" s="2" t="s">
        <v>99</v>
      </c>
      <c r="D18" s="2" t="s">
        <v>100</v>
      </c>
      <c r="E18" s="2" t="s">
        <v>14</v>
      </c>
      <c r="F18" s="2" t="s">
        <v>77</v>
      </c>
      <c r="G18" s="2" t="s">
        <v>78</v>
      </c>
      <c r="H18" s="2" t="s">
        <v>79</v>
      </c>
      <c r="I18" s="2" t="s">
        <v>18</v>
      </c>
      <c r="J18" s="2" t="s">
        <v>101</v>
      </c>
    </row>
    <row r="19" customFormat="false" ht="15" hidden="false" customHeight="false" outlineLevel="0" collapsed="false">
      <c r="A19" s="5" t="s">
        <v>102</v>
      </c>
      <c r="B19" s="5" t="s">
        <v>57</v>
      </c>
      <c r="C19" s="5" t="s">
        <v>103</v>
      </c>
      <c r="D19" s="5" t="s">
        <v>104</v>
      </c>
      <c r="E19" s="5" t="s">
        <v>49</v>
      </c>
      <c r="F19" s="5" t="s">
        <v>77</v>
      </c>
      <c r="G19" s="5" t="s">
        <v>78</v>
      </c>
      <c r="H19" s="5" t="s">
        <v>79</v>
      </c>
      <c r="I19" s="5" t="s">
        <v>18</v>
      </c>
      <c r="J19" s="5" t="s">
        <v>105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0"/>
  </cols>
  <sheetData>
    <row r="1" customFormat="false" ht="15" hidden="false" customHeight="false" outlineLevel="0" collapsed="false">
      <c r="A1" s="1" t="s">
        <v>106</v>
      </c>
      <c r="B1" s="1" t="s">
        <v>107</v>
      </c>
      <c r="C1" s="1" t="s">
        <v>31</v>
      </c>
      <c r="D1" s="1" t="s">
        <v>14</v>
      </c>
      <c r="E1" s="1" t="s">
        <v>49</v>
      </c>
      <c r="F1" s="1" t="s">
        <v>64</v>
      </c>
      <c r="G1" s="1" t="s">
        <v>24</v>
      </c>
    </row>
    <row r="2" customFormat="false" ht="15" hidden="false" customHeight="false" outlineLevel="0" collapsed="false">
      <c r="A2" s="6" t="s">
        <v>108</v>
      </c>
      <c r="B2" s="6" t="n">
        <v>5.8</v>
      </c>
      <c r="C2" s="6" t="n">
        <v>2</v>
      </c>
      <c r="D2" s="6" t="n">
        <v>3</v>
      </c>
      <c r="E2" s="6" t="n">
        <v>2</v>
      </c>
      <c r="F2" s="6" t="n">
        <v>1</v>
      </c>
      <c r="G2" s="6" t="n">
        <v>0</v>
      </c>
    </row>
    <row r="3" customFormat="false" ht="15" hidden="false" customHeight="false" outlineLevel="0" collapsed="false">
      <c r="A3" s="6" t="s">
        <v>109</v>
      </c>
      <c r="B3" s="6" t="n">
        <v>3.2</v>
      </c>
      <c r="C3" s="6" t="n">
        <v>3</v>
      </c>
      <c r="D3" s="6" t="n">
        <v>4</v>
      </c>
      <c r="E3" s="6" t="n">
        <v>2</v>
      </c>
      <c r="F3" s="6" t="n">
        <v>1</v>
      </c>
      <c r="G3" s="6" t="n">
        <v>0</v>
      </c>
    </row>
    <row r="4" customFormat="false" ht="15" hidden="false" customHeight="false" outlineLevel="0" collapsed="false">
      <c r="A4" s="6" t="s">
        <v>110</v>
      </c>
      <c r="B4" s="6" t="n">
        <v>4.5</v>
      </c>
      <c r="C4" s="6" t="n">
        <v>3</v>
      </c>
      <c r="D4" s="6" t="n">
        <v>5</v>
      </c>
      <c r="E4" s="6" t="n">
        <v>2</v>
      </c>
      <c r="F4" s="6" t="n">
        <v>2</v>
      </c>
      <c r="G4" s="6" t="n">
        <v>1</v>
      </c>
    </row>
    <row r="5" customFormat="false" ht="15" hidden="false" customHeight="false" outlineLevel="0" collapsed="false">
      <c r="A5" s="6" t="s">
        <v>111</v>
      </c>
      <c r="B5" s="6" t="n">
        <v>3.8</v>
      </c>
      <c r="C5" s="6" t="n">
        <v>3</v>
      </c>
      <c r="D5" s="6" t="n">
        <v>5</v>
      </c>
      <c r="E5" s="6" t="n">
        <v>2</v>
      </c>
      <c r="F5" s="6" t="n">
        <v>2</v>
      </c>
      <c r="G5" s="6" t="n">
        <v>1</v>
      </c>
    </row>
    <row r="6" customFormat="false" ht="15" hidden="false" customHeight="false" outlineLevel="0" collapsed="false">
      <c r="A6" s="6" t="s">
        <v>112</v>
      </c>
      <c r="B6" s="6" t="n">
        <v>4.3</v>
      </c>
      <c r="C6" s="6" t="n">
        <v>4</v>
      </c>
      <c r="D6" s="6" t="n">
        <v>4</v>
      </c>
      <c r="E6" s="6" t="n">
        <v>2</v>
      </c>
      <c r="F6" s="6" t="n">
        <v>2</v>
      </c>
      <c r="G6" s="6" t="n">
        <v>6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3" t="s">
        <v>33</v>
      </c>
      <c r="B2" s="3" t="s">
        <v>34</v>
      </c>
      <c r="C2" s="3" t="s">
        <v>35</v>
      </c>
      <c r="D2" s="3" t="s">
        <v>36</v>
      </c>
      <c r="E2" s="3"/>
      <c r="F2" s="3" t="s">
        <v>24</v>
      </c>
      <c r="G2" s="3" t="s">
        <v>37</v>
      </c>
      <c r="H2" s="3" t="s">
        <v>25</v>
      </c>
      <c r="I2" s="3"/>
      <c r="J2" s="3" t="s">
        <v>26</v>
      </c>
    </row>
    <row r="3" customFormat="false" ht="23.85" hidden="false" customHeight="false" outlineLevel="0" collapsed="false">
      <c r="A3" s="3" t="s">
        <v>38</v>
      </c>
      <c r="B3" s="3" t="s">
        <v>28</v>
      </c>
      <c r="C3" s="3" t="s">
        <v>39</v>
      </c>
      <c r="D3" s="3" t="s">
        <v>40</v>
      </c>
      <c r="E3" s="3"/>
      <c r="F3" s="3" t="s">
        <v>24</v>
      </c>
      <c r="G3" s="3" t="s">
        <v>37</v>
      </c>
      <c r="H3" s="3" t="s">
        <v>25</v>
      </c>
      <c r="I3" s="3"/>
      <c r="J3" s="3" t="s">
        <v>26</v>
      </c>
    </row>
    <row r="4" customFormat="false" ht="15" hidden="false" customHeight="false" outlineLevel="0" collapsed="false">
      <c r="A4" s="3" t="s">
        <v>52</v>
      </c>
      <c r="B4" s="3" t="s">
        <v>34</v>
      </c>
      <c r="C4" s="3" t="s">
        <v>53</v>
      </c>
      <c r="D4" s="3" t="s">
        <v>54</v>
      </c>
      <c r="E4" s="3"/>
      <c r="F4" s="3" t="s">
        <v>24</v>
      </c>
      <c r="G4" s="3" t="s">
        <v>55</v>
      </c>
      <c r="H4" s="3" t="s">
        <v>25</v>
      </c>
      <c r="I4" s="3"/>
      <c r="J4" s="3" t="s">
        <v>26</v>
      </c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59</v>
      </c>
      <c r="E5" s="3"/>
      <c r="F5" s="3" t="s">
        <v>24</v>
      </c>
      <c r="G5" s="3" t="s">
        <v>55</v>
      </c>
      <c r="H5" s="3" t="s">
        <v>25</v>
      </c>
      <c r="I5" s="3"/>
      <c r="J5" s="3" t="s">
        <v>60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5"/>
    <col collapsed="false" customWidth="true" hidden="false" outlineLevel="0" max="5" min="4" style="0" width="1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113</v>
      </c>
      <c r="B1" s="1" t="s">
        <v>114</v>
      </c>
      <c r="C1" s="1" t="s">
        <v>2</v>
      </c>
      <c r="D1" s="1" t="s">
        <v>4</v>
      </c>
      <c r="E1" s="1" t="s">
        <v>8</v>
      </c>
      <c r="F1" s="1" t="s">
        <v>115</v>
      </c>
    </row>
    <row r="2" customFormat="false" ht="15" hidden="false" customHeight="false" outlineLevel="0" collapsed="false">
      <c r="A2" s="4" t="s">
        <v>116</v>
      </c>
      <c r="B2" s="4" t="s">
        <v>27</v>
      </c>
      <c r="C2" s="4" t="s">
        <v>29</v>
      </c>
      <c r="D2" s="4" t="s">
        <v>31</v>
      </c>
      <c r="E2" s="4" t="s">
        <v>18</v>
      </c>
      <c r="F2" s="4" t="s">
        <v>117</v>
      </c>
    </row>
    <row r="3" customFormat="false" ht="15" hidden="false" customHeight="false" outlineLevel="0" collapsed="false">
      <c r="A3" s="4" t="s">
        <v>116</v>
      </c>
      <c r="B3" s="4" t="s">
        <v>81</v>
      </c>
      <c r="C3" s="4" t="s">
        <v>83</v>
      </c>
      <c r="D3" s="4" t="s">
        <v>31</v>
      </c>
      <c r="E3" s="4" t="s">
        <v>18</v>
      </c>
      <c r="F3" s="4" t="s">
        <v>117</v>
      </c>
    </row>
    <row r="4" customFormat="false" ht="15" hidden="false" customHeight="false" outlineLevel="0" collapsed="false">
      <c r="A4" s="4" t="s">
        <v>116</v>
      </c>
      <c r="B4" s="4" t="s">
        <v>86</v>
      </c>
      <c r="C4" s="4" t="s">
        <v>87</v>
      </c>
      <c r="D4" s="4" t="s">
        <v>31</v>
      </c>
      <c r="E4" s="4" t="s">
        <v>18</v>
      </c>
      <c r="F4" s="4" t="s">
        <v>117</v>
      </c>
    </row>
    <row r="5" customFormat="false" ht="15" hidden="false" customHeight="false" outlineLevel="0" collapsed="false">
      <c r="A5" s="4" t="s">
        <v>116</v>
      </c>
      <c r="B5" s="4" t="s">
        <v>94</v>
      </c>
      <c r="C5" s="4" t="s">
        <v>95</v>
      </c>
      <c r="D5" s="4" t="s">
        <v>31</v>
      </c>
      <c r="E5" s="4" t="s">
        <v>18</v>
      </c>
      <c r="F5" s="4" t="s">
        <v>117</v>
      </c>
    </row>
    <row r="6" customFormat="false" ht="15" hidden="false" customHeight="false" outlineLevel="0" collapsed="false">
      <c r="A6" s="4" t="s">
        <v>116</v>
      </c>
      <c r="B6" s="4" t="s">
        <v>67</v>
      </c>
      <c r="C6" s="4" t="s">
        <v>68</v>
      </c>
      <c r="D6" s="4" t="s">
        <v>31</v>
      </c>
      <c r="E6" s="4" t="s">
        <v>18</v>
      </c>
      <c r="F6" s="4" t="s">
        <v>117</v>
      </c>
    </row>
    <row r="7" customFormat="false" ht="15" hidden="false" customHeight="false" outlineLevel="0" collapsed="false">
      <c r="A7" s="2" t="s">
        <v>118</v>
      </c>
      <c r="B7" s="2" t="s">
        <v>10</v>
      </c>
      <c r="C7" s="2" t="s">
        <v>12</v>
      </c>
      <c r="D7" s="2" t="s">
        <v>14</v>
      </c>
      <c r="E7" s="2" t="s">
        <v>18</v>
      </c>
      <c r="F7" s="2" t="s">
        <v>119</v>
      </c>
    </row>
    <row r="8" customFormat="false" ht="15" hidden="false" customHeight="false" outlineLevel="0" collapsed="false">
      <c r="A8" s="2" t="s">
        <v>118</v>
      </c>
      <c r="B8" s="2" t="s">
        <v>41</v>
      </c>
      <c r="C8" s="2" t="s">
        <v>42</v>
      </c>
      <c r="D8" s="2" t="s">
        <v>14</v>
      </c>
      <c r="E8" s="2" t="s">
        <v>18</v>
      </c>
      <c r="F8" s="2" t="s">
        <v>119</v>
      </c>
    </row>
    <row r="9" customFormat="false" ht="15" hidden="false" customHeight="false" outlineLevel="0" collapsed="false">
      <c r="A9" s="2" t="s">
        <v>118</v>
      </c>
      <c r="B9" s="2" t="s">
        <v>90</v>
      </c>
      <c r="C9" s="2" t="s">
        <v>91</v>
      </c>
      <c r="D9" s="2" t="s">
        <v>14</v>
      </c>
      <c r="E9" s="2" t="s">
        <v>18</v>
      </c>
      <c r="F9" s="2" t="s">
        <v>119</v>
      </c>
    </row>
    <row r="10" customFormat="false" ht="15" hidden="false" customHeight="false" outlineLevel="0" collapsed="false">
      <c r="A10" s="2" t="s">
        <v>118</v>
      </c>
      <c r="B10" s="2" t="s">
        <v>98</v>
      </c>
      <c r="C10" s="2" t="s">
        <v>99</v>
      </c>
      <c r="D10" s="2" t="s">
        <v>14</v>
      </c>
      <c r="E10" s="2" t="s">
        <v>18</v>
      </c>
      <c r="F10" s="2" t="s">
        <v>119</v>
      </c>
    </row>
    <row r="11" customFormat="false" ht="15" hidden="false" customHeight="false" outlineLevel="0" collapsed="false">
      <c r="A11" s="5" t="s">
        <v>120</v>
      </c>
      <c r="B11" s="5" t="s">
        <v>46</v>
      </c>
      <c r="C11" s="5" t="s">
        <v>47</v>
      </c>
      <c r="D11" s="5" t="s">
        <v>49</v>
      </c>
      <c r="E11" s="5" t="s">
        <v>18</v>
      </c>
      <c r="F11" s="5" t="s">
        <v>121</v>
      </c>
    </row>
    <row r="12" customFormat="false" ht="15" hidden="false" customHeight="false" outlineLevel="0" collapsed="false">
      <c r="A12" s="3" t="s">
        <v>120</v>
      </c>
      <c r="B12" s="3" t="s">
        <v>61</v>
      </c>
      <c r="C12" s="3" t="s">
        <v>62</v>
      </c>
      <c r="D12" s="3" t="s">
        <v>64</v>
      </c>
      <c r="E12" s="3" t="s">
        <v>18</v>
      </c>
      <c r="F12" s="3" t="s">
        <v>121</v>
      </c>
    </row>
    <row r="13" customFormat="false" ht="15" hidden="false" customHeight="false" outlineLevel="0" collapsed="false">
      <c r="A13" s="5" t="s">
        <v>120</v>
      </c>
      <c r="B13" s="5" t="s">
        <v>102</v>
      </c>
      <c r="C13" s="5" t="s">
        <v>103</v>
      </c>
      <c r="D13" s="5" t="s">
        <v>49</v>
      </c>
      <c r="E13" s="5" t="s">
        <v>18</v>
      </c>
      <c r="F13" s="5" t="s">
        <v>121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7" t="s">
        <v>122</v>
      </c>
    </row>
    <row r="3" customFormat="false" ht="15" hidden="false" customHeight="false" outlineLevel="0" collapsed="false">
      <c r="A3" s="8" t="s">
        <v>123</v>
      </c>
      <c r="B3" s="9" t="n">
        <f aca="false">COUNTA('All Findings'!A2:A19)</f>
        <v>18</v>
      </c>
    </row>
    <row r="4" customFormat="false" ht="15" hidden="false" customHeight="false" outlineLevel="0" collapsed="false">
      <c r="A4" s="8" t="s">
        <v>124</v>
      </c>
      <c r="B4" s="9" t="n">
        <f aca="false">COUNTIF('All Findings'!E2:E19,"Critical")</f>
        <v>5</v>
      </c>
    </row>
    <row r="5" customFormat="false" ht="15" hidden="false" customHeight="false" outlineLevel="0" collapsed="false">
      <c r="A5" s="8" t="s">
        <v>125</v>
      </c>
      <c r="B5" s="9" t="n">
        <f aca="false">COUNTIF('All Findings'!E2:E19,"High")</f>
        <v>4</v>
      </c>
    </row>
    <row r="6" customFormat="false" ht="15" hidden="false" customHeight="false" outlineLevel="0" collapsed="false">
      <c r="A6" s="8" t="s">
        <v>126</v>
      </c>
      <c r="B6" s="9" t="n">
        <f aca="false">COUNTIF('All Findings'!E2:E19,"Medium")</f>
        <v>2</v>
      </c>
    </row>
    <row r="7" customFormat="false" ht="15" hidden="false" customHeight="false" outlineLevel="0" collapsed="false">
      <c r="A7" s="8" t="s">
        <v>127</v>
      </c>
      <c r="B7" s="9" t="n">
        <f aca="false">COUNTIF('All Findings'!E2:E19,"Low")</f>
        <v>2</v>
      </c>
    </row>
    <row r="8" customFormat="false" ht="15" hidden="false" customHeight="false" outlineLevel="0" collapsed="false">
      <c r="A8" s="8" t="s">
        <v>128</v>
      </c>
      <c r="B8" s="9" t="n">
        <f aca="false">COUNTIF('All Findings'!F2:F19,"Fixed")</f>
        <v>5</v>
      </c>
    </row>
    <row r="9" customFormat="false" ht="15" hidden="false" customHeight="false" outlineLevel="0" collapsed="false">
      <c r="A9" s="8" t="s">
        <v>129</v>
      </c>
      <c r="B9" s="9" t="n">
        <v>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2026-04-04T18:20:27Z</dcterms:created>
  <dc:creator>openpyxl</dc:creator>
  <dc:description/>
  <dc:language>en-US</dc:language>
  <cp:lastModifiedBy/>
  <dcterms:modified xsi:type="dcterms:W3CDTF">2026-04-04T18:20:27Z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