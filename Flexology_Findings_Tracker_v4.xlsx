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Test Cases" sheetId="2" state="visible" r:id="rId4"/>
    <sheet name="Summary Dashboard" sheetId="3" state="visible" r:id="rId5"/>
    <sheet name="Quick Wins" sheetId="4" state="visible" r:id="rId6"/>
  </sheets>
  <definedNames>
    <definedName function="false" hidden="true" localSheetId="0" name="_xlnm._FilterDatabase" vbProcedure="false">'All Findings'!$A$1:$K$27</definedName>
    <definedName function="false" hidden="true" localSheetId="3" name="_xlnm._FilterDatabase" vbProcedure="false">'Quick Wins'!$A$1:$K$13</definedName>
    <definedName function="false" hidden="true" localSheetId="1" name="_xlnm._FilterDatabase" vbProcedure="false">'Test Cases'!$A$1:$H$66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<sst xmlns="http://schemas.openxmlformats.org/spreadsheetml/2006/main" count="1005" uniqueCount="496">
  <si>
    <t xml:space="preserve">ID</t>
  </si>
  <si>
    <t xml:space="preserve">Category</t>
  </si>
  <si>
    <t xml:space="preserve">Severity</t>
  </si>
  <si>
    <t xml:space="preserve">Title</t>
  </si>
  <si>
    <t xml:space="preserve">v3 Claim</t>
  </si>
  <si>
    <t xml:space="preserve">v4 Status</t>
  </si>
  <si>
    <t xml:space="preserve">Description</t>
  </si>
  <si>
    <t xml:space="preserve">Recommended Fix</t>
  </si>
  <si>
    <t xml:space="preserve">Priority</t>
  </si>
  <si>
    <t xml:space="preserve">Effort</t>
  </si>
  <si>
    <t xml:space="preserve">Module</t>
  </si>
  <si>
    <t xml:space="preserve">V3-001</t>
  </si>
  <si>
    <t xml:space="preserve">Performance</t>
  </si>
  <si>
    <t xml:space="preserve">Critical</t>
  </si>
  <si>
    <t xml:space="preserve">FCP 51,176ms (28x over target)</t>
  </si>
  <si>
    <t xml:space="preserve">Claimed: Midtrans lazyOnload</t>
  </si>
  <si>
    <t xml:space="preserve">NOT FIXED — REGRESSED</t>
  </si>
  <si>
    <t xml:space="preserve">FCP worsened from 13,232ms to 51,176ms. 28x above 1,800ms target.</t>
  </si>
  <si>
    <t xml:space="preserve">Profile critical rendering path. Defer render-blocking JS. Implement SSR/SSG for initial HTML shell. Code-split with next/dynamic. Lazy load below-fold components. Check for new dependencies added since v3. Target: FCP &lt; 1,800ms.</t>
  </si>
  <si>
    <t xml:space="preserve">P0</t>
  </si>
  <si>
    <t xml:space="preserve">Major</t>
  </si>
  <si>
    <t xml:space="preserve">Consumer</t>
  </si>
  <si>
    <t xml:space="preserve">V3-002</t>
  </si>
  <si>
    <t xml:space="preserve">Homepage TTFB 3,882ms (4.9x target)</t>
  </si>
  <si>
    <t xml:space="preserve">Claimed: Stripped next/dynamic chunking</t>
  </si>
  <si>
    <t xml:space="preserve">NOT FIXED</t>
  </si>
  <si>
    <t xml:space="preserve">TTFB 3,882ms (slight improvement from 4,339ms). Only homepage affected.</t>
  </si>
  <si>
    <t xml:space="preserve">Check getServerSideProps or server component data fetching. Add edge caching or ISR for homepage. Ensure no blocking API calls in server render. Check Vercel function logs for cold starts.</t>
  </si>
  <si>
    <t xml:space="preserve">V3-003</t>
  </si>
  <si>
    <t xml:space="preserve">Functionality</t>
  </si>
  <si>
    <t xml:space="preserve">POS system does not exist</t>
  </si>
  <si>
    <t xml:space="preserve">Claimed: Built POS with offline/manual payment</t>
  </si>
  <si>
    <t xml:space="preserve">/pos, /admin/pos, /terminal, /admin/terminal all return 404</t>
  </si>
  <si>
    <t xml:space="preserve">Build POS module: daily bookings view, check-in, walk-in booking, payment processing, receipt generation. Add POS link to admin sidebar. Implement outlet-scoped access.</t>
  </si>
  <si>
    <t xml:space="preserve">POS</t>
  </si>
  <si>
    <t xml:space="preserve">V3-004</t>
  </si>
  <si>
    <t xml:space="preserve">Security</t>
  </si>
  <si>
    <t xml:space="preserve">5 security headers missing (4th audit cycle)</t>
  </si>
  <si>
    <t xml:space="preserve">Claimed: middleware.ts injecting headers</t>
  </si>
  <si>
    <t xml:space="preserve">CSP, X-Frame-Options, X-Content-Type-Options, Referrer-Policy, Permissions-Policy all MISSING</t>
  </si>
  <si>
    <t xml:space="preserve">Add headers in next.config.js async headers() or middleware.ts. Verify deployment includes the middleware file. Check if vercel.json is overriding headers.</t>
  </si>
  <si>
    <t xml:space="preserve">Quick Win</t>
  </si>
  <si>
    <t xml:space="preserve">Platform</t>
  </si>
  <si>
    <t xml:space="preserve">V3-005</t>
  </si>
  <si>
    <t xml:space="preserve">Server/X-Powered-By exposed</t>
  </si>
  <si>
    <t xml:space="preserve">Claimed: Removed X-Powered-By</t>
  </si>
  <si>
    <t xml:space="preserve">Server: Vercel and X-Powered-By: Next.js still present</t>
  </si>
  <si>
    <t xml:space="preserve">Set poweredByHeader: false in next.config.js. Configure Vercel project settings or middleware to strip Server header.</t>
  </si>
  <si>
    <t xml:space="preserve">V3-006</t>
  </si>
  <si>
    <t xml:space="preserve">Admin no-auth access</t>
  </si>
  <si>
    <t xml:space="preserve">Claimed: Credentials rotated, middleware restrictions</t>
  </si>
  <si>
    <t xml:space="preserve">Admin panel loads without login redirect after clearing all storage. No authentication middleware active.</t>
  </si>
  <si>
    <t xml:space="preserve">Implement server-side session validation middleware. Use httpOnly secure cookies. Add rate limiting (5 attempts = 15min lockout). Require strong passwords. Implement MFA.</t>
  </si>
  <si>
    <t xml:space="preserve">Admin</t>
  </si>
  <si>
    <t xml:space="preserve">V4-001</t>
  </si>
  <si>
    <t xml:space="preserve">FCP Critical Regression 3.9x worse</t>
  </si>
  <si>
    <t xml:space="preserve">NEW FINDING</t>
  </si>
  <si>
    <t xml:space="preserve">NEW</t>
  </si>
  <si>
    <t xml:space="preserve">FCP degraded from 13,232ms (v3) to 51,176ms (v4). Most severe performance regression across all audit cycles.</t>
  </si>
  <si>
    <t xml:space="preserve">Same as V3-001. Additionally investigate what changed between v3 and v4 deployments. Check git diff for new dependencies or removed optimizations.</t>
  </si>
  <si>
    <t xml:space="preserve">V4-003</t>
  </si>
  <si>
    <t xml:space="preserve">Admin panel authentication bypass</t>
  </si>
  <si>
    <t xml:space="preserve">Admin panel accessible without any authentication after clearing all browser storage. Middleware auth appears non-functional.</t>
  </si>
  <si>
    <t xml:space="preserve">Verify middleware.ts is deployed and executing. Check Vercel function logs for middleware invocation. Ensure matcher patterns include /admin routes.</t>
  </si>
  <si>
    <t xml:space="preserve">V3-007</t>
  </si>
  <si>
    <t xml:space="preserve">High</t>
  </si>
  <si>
    <t xml:space="preserve">SEE ALL link doesn't navigate</t>
  </si>
  <si>
    <t xml:space="preserve">Claimed: Hard-wired to /services</t>
  </si>
  <si>
    <t xml:space="preserve">PARTIAL</t>
  </si>
  <si>
    <t xml:space="preserve">href="/book" but click doesn't trigger navigation from homepage</t>
  </si>
  <si>
    <t xml:space="preserve">Fix Next.js Link component implementation. Check for e.preventDefault() calls. Ensure proper client-side routing. Link should point to /services (once built).</t>
  </si>
  <si>
    <t xml:space="preserve">P1</t>
  </si>
  <si>
    <t xml:space="preserve">V3-009</t>
  </si>
  <si>
    <t xml:space="preserve">UX</t>
  </si>
  <si>
    <t xml:space="preserve">3 naming mismatches sidebar vs page</t>
  </si>
  <si>
    <t xml:space="preserve">Claimed: Resolved naming alignments</t>
  </si>
  <si>
    <t xml:space="preserve">"Bookings Pipeline" vs "Operations Pipeline", "Staff Registry" vs "Staff Roster Setup", "Outlets &amp; Managers" vs "Outlets &amp; Operations"</t>
  </si>
  <si>
    <t xml:space="preserve">Choose one name per section. Update sidebar component and page titles to match.</t>
  </si>
  <si>
    <t xml:space="preserve">V3-010</t>
  </si>
  <si>
    <t xml:space="preserve">Pipeline grid "No grid columns"</t>
  </si>
  <si>
    <t xml:space="preserve">Claimed: Dynamic staff pulling by locationId</t>
  </si>
  <si>
    <t xml:space="preserve">Schedule grid shows no therapist columns despite 2 active therapists</t>
  </si>
  <si>
    <t xml:space="preserve">Query assigned staff for selected outlet. Render as grid columns. Place bookings in correct staff column at correct time slot.</t>
  </si>
  <si>
    <t xml:space="preserve">Moderate</t>
  </si>
  <si>
    <t xml:space="preserve">V3-011</t>
  </si>
  <si>
    <t xml:space="preserve">Data Integrity</t>
  </si>
  <si>
    <t xml:space="preserve">Revenue shows Rp 0</t>
  </si>
  <si>
    <t xml:space="preserve">Claimed: Recalculated backend logic</t>
  </si>
  <si>
    <t xml:space="preserve">Gross Settled Revenue "Rp 0" while leaderboard shows Rp 475,000 + Rp 400,000 = Rp 875,000</t>
  </si>
  <si>
    <t xml:space="preserve">Debug revenue aggregation query. Ensure "settled" status includes completed/paid bookings. Compare with working leaderboard query.</t>
  </si>
  <si>
    <t xml:space="preserve">V3-012</t>
  </si>
  <si>
    <t xml:space="preserve">Currency 3 different formats</t>
  </si>
  <si>
    <t xml:space="preserve">Claimed: Universal locale id-ID</t>
  </si>
  <si>
    <t xml:space="preserve">Consumer: "IDR 200K", Admin: "Rp 0", Leaderboard: "Rp 475,000" (comma). Indonesian standard: "Rp 475.000" (period)</t>
  </si>
  <si>
    <t xml:space="preserve">Create shared formatCurrency(amount) utility returning Rp + toLocaleString('id-ID'). Apply everywhere. Remove all hardcoded formatting.</t>
  </si>
  <si>
    <t xml:space="preserve">V3-013</t>
  </si>
  <si>
    <t xml:space="preserve">/services page returns 404</t>
  </si>
  <si>
    <t xml:space="preserve">Claimed: Built dedicated /services page</t>
  </si>
  <si>
    <t xml:space="preserve">/services returns 404 Not Found. No services browsing page exists.</t>
  </si>
  <si>
    <t xml:space="preserve">Create /services page listing all services across all outlets with filtering by type. Show name, duration, price, description, rating.</t>
  </si>
  <si>
    <t xml:space="preserve">V4-002</t>
  </si>
  <si>
    <t xml:space="preserve">Sign Out button non-functional</t>
  </si>
  <si>
    <t xml:space="preserve">Clicking Sign Out in admin doesn't log out or redirect. User stays on dashboard.</t>
  </si>
  <si>
    <t xml:space="preserve">Debug Sign Out form submission. Ensure it clears server-side session. Add redirect to homepage or login after signout.</t>
  </si>
  <si>
    <t xml:space="preserve">V3-014</t>
  </si>
  <si>
    <t xml:space="preserve">Medium</t>
  </si>
  <si>
    <t xml:space="preserve">Therapist "indra" not capitalized</t>
  </si>
  <si>
    <t xml:space="preserve">Claimed: DB sanitized</t>
  </si>
  <si>
    <t xml:space="preserve">Still shows "indra" in staff registry</t>
  </si>
  <si>
    <t xml:space="preserve">Run DB migration to capitalize: UPDATE therapists SET name = 'Indra' WHERE name = 'indra'. Add name validation on input.</t>
  </si>
  <si>
    <t xml:space="preserve">P2</t>
  </si>
  <si>
    <t xml:space="preserve">V3-015</t>
  </si>
  <si>
    <t xml:space="preserve">Pre-filled staff form "Sarah Jenkins"</t>
  </si>
  <si>
    <t xml:space="preserve">Claimed: Not specified</t>
  </si>
  <si>
    <t xml:space="preserve">Add Therapist form shows "Sarah Jenkins" and "Sports Massage, Recovery"</t>
  </si>
  <si>
    <t xml:space="preserve">Replace pre-filled values with empty inputs or proper placeholder attributes.</t>
  </si>
  <si>
    <t xml:space="preserve">V3-017</t>
  </si>
  <si>
    <t xml:space="preserve">Time format uses periods (08.00)</t>
  </si>
  <si>
    <t xml:space="preserve">Outlets page shows "08.00" and "22.00" with periods instead of colons</t>
  </si>
  <si>
    <t xml:space="preserve">Standardize time display to HH:MM format with colons across all pages.</t>
  </si>
  <si>
    <t xml:space="preserve">V3-018</t>
  </si>
  <si>
    <t xml:space="preserve">Credit card rate comma decimal (0,02)</t>
  </si>
  <si>
    <t xml:space="preserve">Claimed: Sanitized via replace()</t>
  </si>
  <si>
    <t xml:space="preserve">System Variables shows "0,02" instead of "0.02"</t>
  </si>
  <si>
    <t xml:space="preserve">Ensure numeric inputs use period decimal separator. Apply locale-aware parsing or force standard decimal notation.</t>
  </si>
  <si>
    <t xml:space="preserve">V3-020</t>
  </si>
  <si>
    <t xml:space="preserve">Pondok Indah missing from leaderboard</t>
  </si>
  <si>
    <t xml:space="preserve">Claimed: Outlets instantiate Volume: 0</t>
  </si>
  <si>
    <t xml:space="preserve">Only Home Service and Dash Padel in leaderboard</t>
  </si>
  <si>
    <t xml:space="preserve">Include all outlets in leaderboard query even with 0 sessions. Use LEFT JOIN or similar to ensure completeness.</t>
  </si>
  <si>
    <t xml:space="preserve">V3-021</t>
  </si>
  <si>
    <t xml:space="preserve">Staff assignment inconsistency</t>
  </si>
  <si>
    <t xml:space="preserve">Claimed: Properly binds staff records</t>
  </si>
  <si>
    <t xml:space="preserve">Widi and indra assigned to Pondok Indah but dispatched for Home Service</t>
  </si>
  <si>
    <t xml:space="preserve">Reconcile location assignments in DB. Ensure booking flow reflects actual staff location.</t>
  </si>
  <si>
    <t xml:space="preserve">V3-016</t>
  </si>
  <si>
    <t xml:space="preserve">Contact details hidden behind keyboard</t>
  </si>
  <si>
    <t xml:space="preserve">Claimed: Expanded padding pb-[200px]</t>
  </si>
  <si>
    <t xml:space="preserve">NOT VERIFIED</t>
  </si>
  <si>
    <t xml:space="preserve">Booking summary Contact Details may be obscured by Confirm button</t>
  </si>
  <si>
    <t xml:space="preserve">Verify on mobile viewport. Ensure sticky button doesn't overlap form content. Add scroll padding.</t>
  </si>
  <si>
    <t xml:space="preserve">V3-019</t>
  </si>
  <si>
    <t xml:space="preserve">Therapist not filtered by specialty</t>
  </si>
  <si>
    <t xml:space="preserve">Claimed: Selection algorithms scan specialty</t>
  </si>
  <si>
    <t xml:space="preserve">Selecting Assisted Stretching may show Sports Massage therapists</t>
  </si>
  <si>
    <t xml:space="preserve">Filter therapist list by matching service specialty. Only show qualified therapists.</t>
  </si>
  <si>
    <t xml:space="preserve">V3-023</t>
  </si>
  <si>
    <t xml:space="preserve">Low</t>
  </si>
  <si>
    <t xml:space="preserve">No responsive desktop layout</t>
  </si>
  <si>
    <t xml:space="preserve">Claimed: Maintained max-w-[480px]</t>
  </si>
  <si>
    <t xml:space="preserve">App renders as fixed mobile-width container on all screens</t>
  </si>
  <si>
    <t xml:space="preserve">Add responsive breakpoints. Use max-w-lg or similar for tablet, full-width grid for desktop.</t>
  </si>
  <si>
    <t xml:space="preserve">P3</t>
  </si>
  <si>
    <t xml:space="preserve">V3-025</t>
  </si>
  <si>
    <t xml:space="preserve">Generic 404 page</t>
  </si>
  <si>
    <t xml:space="preserve">Claimed: Custom "Lost in the Void" deployed</t>
  </si>
  <si>
    <t xml:space="preserve">Still shows "The wellness therapy or page you are looking for has been removed..."</t>
  </si>
  <si>
    <t xml:space="preserve">Deploy the custom not-found.tsx. Add Flexology branding, helpful navigation links, search suggestions.</t>
  </si>
  <si>
    <t xml:space="preserve">V3-024</t>
  </si>
  <si>
    <t xml:space="preserve">Login label confusion</t>
  </si>
  <si>
    <t xml:space="preserve">Claimed: Expanded to "ID / Mobile Number"</t>
  </si>
  <si>
    <t xml:space="preserve">Admin login field may still say "MOBILE NUMBER"</t>
  </si>
  <si>
    <t xml:space="preserve">Change label to "ID / Mobile Number" or create separate admin login route.</t>
  </si>
  <si>
    <t xml:space="preserve">TC-ID</t>
  </si>
  <si>
    <t xml:space="preserve">Type</t>
  </si>
  <si>
    <t xml:space="preserve">Preconditions</t>
  </si>
  <si>
    <t xml:space="preserve">Test Steps</t>
  </si>
  <si>
    <t xml:space="preserve">Expected Result</t>
  </si>
  <si>
    <t xml:space="preserve">TC-PERF-001</t>
  </si>
  <si>
    <t xml:space="preserve">Measure First Contentful Paint (FCP)</t>
  </si>
  <si>
    <t xml:space="preserve">Clean browser cache, no throttling</t>
  </si>
  <si>
    <t xml:space="preserve">1. Navigate to homepage
2. Open DevTools Performance tab
3. Record page load
4. Measure FCP metric</t>
  </si>
  <si>
    <t xml:space="preserve">FCP should be &lt; 1,800ms. Current: 51,176ms (FAILED)</t>
  </si>
  <si>
    <t xml:space="preserve">TC-PERF-002</t>
  </si>
  <si>
    <t xml:space="preserve">Measure Time to First Byte (TTFB)</t>
  </si>
  <si>
    <t xml:space="preserve">Clean cache, slow 3G simulation</t>
  </si>
  <si>
    <t xml:space="preserve">1. Navigate to homepage
2. Enable Network throttling (Slow 3G)
3. Record load time
4. Measure TTFB</t>
  </si>
  <si>
    <t xml:space="preserve">TTFB should be &lt; 800ms. Current: 3,882ms (FAILED)</t>
  </si>
  <si>
    <t xml:space="preserve">TC-PERF-003</t>
  </si>
  <si>
    <t xml:space="preserve">Test booking page load performance</t>
  </si>
  <si>
    <t xml:space="preserve">User logged in, service selected</t>
  </si>
  <si>
    <t xml:space="preserve">1. Navigate to booking page
2. Record performance metrics
3. Measure LCP and INP</t>
  </si>
  <si>
    <t xml:space="preserve">LCP &lt; 2.5s, INP &lt; 200ms</t>
  </si>
  <si>
    <t xml:space="preserve">TC-PERF-004</t>
  </si>
  <si>
    <t xml:space="preserve">Measure admin dashboard load time</t>
  </si>
  <si>
    <t xml:space="preserve">Admin authenticated, cache clear</t>
  </si>
  <si>
    <t xml:space="preserve">1. Login to admin
2. Navigate to dashboard
3. Record page load metrics</t>
  </si>
  <si>
    <t xml:space="preserve">Initial load &lt; 3 seconds</t>
  </si>
  <si>
    <t xml:space="preserve">TC-PERF-005</t>
  </si>
  <si>
    <t xml:space="preserve">Test booking confirmation page performance</t>
  </si>
  <si>
    <t xml:space="preserve">Booking in progress, all data loaded</t>
  </si>
  <si>
    <t xml:space="preserve">1. Proceed to confirmation
2. Measure rendering time
3. Check for layout shifts</t>
  </si>
  <si>
    <t xml:space="preserve">No CLS &gt; 0.1, FCP &lt; 2.5s</t>
  </si>
  <si>
    <t xml:space="preserve">TC-PERF-006</t>
  </si>
  <si>
    <t xml:space="preserve">Test pipeline grid rendering with 20+ bookings</t>
  </si>
  <si>
    <t xml:space="preserve">Outlet selected, bookings loaded</t>
  </si>
  <si>
    <t xml:space="preserve">1. Load Bookings Pipeline with 20+ entries
2. Measure render time
3. Check for scrolling lag</t>
  </si>
  <si>
    <t xml:space="preserve">Grid renders in &lt; 2s, scroll FPS &gt; 50</t>
  </si>
  <si>
    <t xml:space="preserve">TC-PERF-007</t>
  </si>
  <si>
    <t xml:space="preserve">Test image loading performance on services page</t>
  </si>
  <si>
    <t xml:space="preserve">Services page loaded</t>
  </si>
  <si>
    <t xml:space="preserve">1. Open /services page
2. Measure image load times
3. Check lazy loading</t>
  </si>
  <si>
    <t xml:space="preserve">Images load progressively, LCP &lt; 2.5s</t>
  </si>
  <si>
    <t xml:space="preserve">TC-PERF-008</t>
  </si>
  <si>
    <t xml:space="preserve">Test leaderboard calculation and render time</t>
  </si>
  <si>
    <t xml:space="preserve">Multiple outlets with data</t>
  </si>
  <si>
    <t xml:space="preserve">1. Open Leaderboard
2. Measure data fetch and render
3. Check sort performance</t>
  </si>
  <si>
    <t xml:space="preserve">Render &lt; 1.5s, sort &lt; 500ms</t>
  </si>
  <si>
    <t xml:space="preserve">TC-SEC-001</t>
  </si>
  <si>
    <t xml:space="preserve">Verify Content Security Policy header</t>
  </si>
  <si>
    <t xml:space="preserve">Browser DevTools open</t>
  </si>
  <si>
    <t xml:space="preserve">1. Open DevTools Network tab
2. Navigate to any page
3. Check response headers</t>
  </si>
  <si>
    <t xml:space="preserve">CSP header should be present and properly configured</t>
  </si>
  <si>
    <t xml:space="preserve">TC-SEC-002</t>
  </si>
  <si>
    <t xml:space="preserve">Verify X-Frame-Options header</t>
  </si>
  <si>
    <t xml:space="preserve">1. Check response headers for X-Frame-Options
2. Try to iframe the page in another domain</t>
  </si>
  <si>
    <t xml:space="preserve">X-Frame-Options: DENY or SAMEORIGIN should be set</t>
  </si>
  <si>
    <t xml:space="preserve">TC-SEC-003</t>
  </si>
  <si>
    <t xml:space="preserve">Verify Server header not exposed</t>
  </si>
  <si>
    <t xml:space="preserve">1. Make request to any page
2. Check response headers
3. Look for Server header</t>
  </si>
  <si>
    <t xml:space="preserve">Server header should be stripped or generic</t>
  </si>
  <si>
    <t xml:space="preserve">TC-SEC-004</t>
  </si>
  <si>
    <t xml:space="preserve">Verify X-Powered-By header removed</t>
  </si>
  <si>
    <t xml:space="preserve">Network tab available</t>
  </si>
  <si>
    <t xml:space="preserve">1. Make HTTP request
2. Check response headers
3. Look for X-Powered-By</t>
  </si>
  <si>
    <t xml:space="preserve">X-Powered-By should not be exposed</t>
  </si>
  <si>
    <t xml:space="preserve">TC-SEC-005</t>
  </si>
  <si>
    <t xml:space="preserve">Admin authentication bypass attempt</t>
  </si>
  <si>
    <t xml:space="preserve">Fresh browser, admin URL known</t>
  </si>
  <si>
    <t xml:space="preserve">1. Clear all browser storage
2. Navigate directly to /admin
3. Attempt to access dashboard without login</t>
  </si>
  <si>
    <t xml:space="preserve">Should redirect to login page</t>
  </si>
  <si>
    <t xml:space="preserve">TC-SEC-006</t>
  </si>
  <si>
    <t xml:space="preserve">Test session timeout</t>
  </si>
  <si>
    <t xml:space="preserve">Admin logged in, timer available</t>
  </si>
  <si>
    <t xml:space="preserve">1. Login to admin
2. Wait for session timeout (or manually expire)
3. Try to perform action</t>
  </si>
  <si>
    <t xml:space="preserve">Should redirect to login</t>
  </si>
  <si>
    <t xml:space="preserve">TC-SEC-007</t>
  </si>
  <si>
    <t xml:space="preserve">Test password strength validation</t>
  </si>
  <si>
    <t xml:space="preserve">Login page available</t>
  </si>
  <si>
    <t xml:space="preserve">1. Attempt to set weak password
2. Try common passwords
3. Verify min length requirement</t>
  </si>
  <si>
    <t xml:space="preserve">Weak passwords should be rejected</t>
  </si>
  <si>
    <t xml:space="preserve">TC-SEC-008</t>
  </si>
  <si>
    <t xml:space="preserve">Test rate limiting on login attempts</t>
  </si>
  <si>
    <t xml:space="preserve">1. Make 5+ failed login attempts
2. Measure lockout duration
3. Verify error message</t>
  </si>
  <si>
    <t xml:space="preserve">Should lock after 5 attempts for 15 minutes</t>
  </si>
  <si>
    <t xml:space="preserve">TC-SEC-009</t>
  </si>
  <si>
    <t xml:space="preserve">Verify HTTPS enforcement</t>
  </si>
  <si>
    <t xml:space="preserve">Network tools available</t>
  </si>
  <si>
    <t xml:space="preserve">1. Try to access via HTTP
2. Check for redirect to HTTPS
3. Verify HSTS header</t>
  </si>
  <si>
    <t xml:space="preserve">Should enforce HTTPS with HSTS header</t>
  </si>
  <si>
    <t xml:space="preserve">TC-SEC-010</t>
  </si>
  <si>
    <t xml:space="preserve">Verify Referrer-Policy and Permissions-Policy</t>
  </si>
  <si>
    <t xml:space="preserve">1. Check response headers
2. Look for Referrer-Policy and Permissions-Policy
3. Verify restrictive settings</t>
  </si>
  <si>
    <t xml:space="preserve">Both headers should be present and secure</t>
  </si>
  <si>
    <t xml:space="preserve">TC-FUNC-001</t>
  </si>
  <si>
    <t xml:space="preserve">Test homepage SEE ALL link navigation</t>
  </si>
  <si>
    <t xml:space="preserve">Functional</t>
  </si>
  <si>
    <t xml:space="preserve">Homepage loaded, link visible</t>
  </si>
  <si>
    <t xml:space="preserve">1. Click 'SEE ALL' link on homepage
2. Observe navigation</t>
  </si>
  <si>
    <t xml:space="preserve">Should navigate to /services page</t>
  </si>
  <si>
    <t xml:space="preserve">TC-FUNC-002</t>
  </si>
  <si>
    <t xml:space="preserve">Test booking flow from homepage</t>
  </si>
  <si>
    <t xml:space="preserve">Homepage loaded, services available</t>
  </si>
  <si>
    <t xml:space="preserve">1. Select a service
2. Choose therapist and time
3. Proceed to booking</t>
  </si>
  <si>
    <t xml:space="preserve">Should complete booking without errors</t>
  </si>
  <si>
    <t xml:space="preserve">TC-FUNC-003</t>
  </si>
  <si>
    <t xml:space="preserve">Test POS module access</t>
  </si>
  <si>
    <t xml:space="preserve">Admin authenticated, POS role assigned</t>
  </si>
  <si>
    <t xml:space="preserve">1. Navigate to /pos
2. Attempt to access POS dashboard</t>
  </si>
  <si>
    <t xml:space="preserve">/pos should load with POS interface</t>
  </si>
  <si>
    <t xml:space="preserve">TC-FUNC-004</t>
  </si>
  <si>
    <t xml:space="preserve">Test POS daily bookings view</t>
  </si>
  <si>
    <t xml:space="preserve">POS module loaded, bookings exist</t>
  </si>
  <si>
    <t xml:space="preserve">1. View daily bookings
2. Check therapist assignments
3. Verify walk-in booking option</t>
  </si>
  <si>
    <t xml:space="preserve">Should display all daily bookings with therapist and time</t>
  </si>
  <si>
    <t xml:space="preserve">TC-FUNC-005</t>
  </si>
  <si>
    <t xml:space="preserve">Test POS check-in functionality</t>
  </si>
  <si>
    <t xml:space="preserve">Booking exists in system</t>
  </si>
  <si>
    <t xml:space="preserve">1. Select a booking
2. Click Check In
3. Verify status change</t>
  </si>
  <si>
    <t xml:space="preserve">Booking status should change to checked-in</t>
  </si>
  <si>
    <t xml:space="preserve">TC-FUNC-006</t>
  </si>
  <si>
    <t xml:space="preserve">Test POS walk-in booking creation</t>
  </si>
  <si>
    <t xml:space="preserve">POS interface loaded, therapist available</t>
  </si>
  <si>
    <t xml:space="preserve">1. Click 'Add Walk-In'
2. Select service and therapist
3. Complete booking</t>
  </si>
  <si>
    <t xml:space="preserve">Walk-in booking should be created and visible</t>
  </si>
  <si>
    <t xml:space="preserve">TC-FUNC-007</t>
  </si>
  <si>
    <t xml:space="preserve">Test POS payment processing</t>
  </si>
  <si>
    <t xml:space="preserve">Booking ready for payment</t>
  </si>
  <si>
    <t xml:space="preserve">1. Select payment method
2. Process payment
3. Verify receipt generation</t>
  </si>
  <si>
    <t xml:space="preserve">Payment should process and receipt should display</t>
  </si>
  <si>
    <t xml:space="preserve">TC-FUNC-008</t>
  </si>
  <si>
    <t xml:space="preserve">Test /services page loading</t>
  </si>
  <si>
    <t xml:space="preserve">Services page URL known</t>
  </si>
  <si>
    <t xml:space="preserve">1. Navigate to /services
2. Wait for page load
3. Verify service list displays</t>
  </si>
  <si>
    <t xml:space="preserve">/services should load with complete service list</t>
  </si>
  <si>
    <t xml:space="preserve">TC-FUNC-009</t>
  </si>
  <si>
    <t xml:space="preserve">Test admin sign out functionality</t>
  </si>
  <si>
    <t xml:space="preserve">Admin logged in, sign out button visible</t>
  </si>
  <si>
    <t xml:space="preserve">1. Click Sign Out button
2. Observe redirect
3. Verify session cleared</t>
  </si>
  <si>
    <t xml:space="preserve">Should redirect to homepage and clear authentication</t>
  </si>
  <si>
    <t xml:space="preserve">TC-FUNC-010</t>
  </si>
  <si>
    <t xml:space="preserve">Test Bookings Pipeline grid population</t>
  </si>
  <si>
    <t xml:space="preserve">Pipeline page loaded, outlet selected</t>
  </si>
  <si>
    <t xml:space="preserve">1. Select an outlet with therapists
2. View pipeline grid
3. Check therapist columns</t>
  </si>
  <si>
    <t xml:space="preserve">Grid should show therapist columns with their bookings</t>
  </si>
  <si>
    <t xml:space="preserve">TC-FUNC-011</t>
  </si>
  <si>
    <t xml:space="preserve">Test pipeline booking placement</t>
  </si>
  <si>
    <t xml:space="preserve">Bookings exist, pipeline loaded</t>
  </si>
  <si>
    <t xml:space="preserve">1. Create a booking
2. View in pipeline
3. Verify correct staff column</t>
  </si>
  <si>
    <t xml:space="preserve">Booking should appear in correct staff and time slot</t>
  </si>
  <si>
    <t xml:space="preserve">TC-FUNC-012</t>
  </si>
  <si>
    <t xml:space="preserve">Test revenue calculation</t>
  </si>
  <si>
    <t xml:space="preserve">Multiple completed bookings exist</t>
  </si>
  <si>
    <t xml:space="preserve">1. Navigate to revenue dashboard
2. Check Gross Settled Revenue
3. Compare with leaderboard</t>
  </si>
  <si>
    <t xml:space="preserve">Revenue should match leaderboard total</t>
  </si>
  <si>
    <t xml:space="preserve">TC-FUNC-013</t>
  </si>
  <si>
    <t xml:space="preserve">Test outlet selection filter</t>
  </si>
  <si>
    <t xml:space="preserve">Multiple outlets configured</t>
  </si>
  <si>
    <t xml:space="preserve">1. Select different outlets
2. Verify data changes per outlet
3. Check assignment accuracy</t>
  </si>
  <si>
    <t xml:space="preserve">Data should filter correctly by outlet</t>
  </si>
  <si>
    <t xml:space="preserve">TC-FUNC-014</t>
  </si>
  <si>
    <t xml:space="preserve">Test therapist assignment to outlet</t>
  </si>
  <si>
    <t xml:space="preserve">Staff registry loaded</t>
  </si>
  <si>
    <t xml:space="preserve">1. Assign therapist to outlet
2. Save assignment
3. Verify in pipeline</t>
  </si>
  <si>
    <t xml:space="preserve">Therapist should appear in correct outlet pipeline</t>
  </si>
  <si>
    <t xml:space="preserve">TC-FUNC-015</t>
  </si>
  <si>
    <t xml:space="preserve">Test booking with service specialty match</t>
  </si>
  <si>
    <t xml:space="preserve">Booking page loaded, services available</t>
  </si>
  <si>
    <t xml:space="preserve">1. Select service (e.g., Assisted Stretching)
2. View available therapists
3. Verify specialty match</t>
  </si>
  <si>
    <t xml:space="preserve">Only qualified therapists should be available</t>
  </si>
  <si>
    <t xml:space="preserve">TC-FUNC-016</t>
  </si>
  <si>
    <t xml:space="preserve">Test leaderboard data accuracy</t>
  </si>
  <si>
    <t xml:space="preserve">Multiple outlets with bookings</t>
  </si>
  <si>
    <t xml:space="preserve">1. Check leaderboard totals
2. Verify all outlets included
3. Confirm calculations</t>
  </si>
  <si>
    <t xml:space="preserve">All outlets should appear with correct revenue</t>
  </si>
  <si>
    <t xml:space="preserve">TC-FUNC-017</t>
  </si>
  <si>
    <t xml:space="preserve">Test booking confirmation email</t>
  </si>
  <si>
    <t xml:space="preserve">Booking completed</t>
  </si>
  <si>
    <t xml:space="preserve">1. Complete booking
2. Check email inbox
3. Verify content</t>
  </si>
  <si>
    <t xml:space="preserve">Confirmation email should be received within 1 minute</t>
  </si>
  <si>
    <t xml:space="preserve">TC-FUNC-018</t>
  </si>
  <si>
    <t xml:space="preserve">Test therapist filter by specialty</t>
  </si>
  <si>
    <t xml:space="preserve">Staff registry loaded, specialties assigned</t>
  </si>
  <si>
    <t xml:space="preserve">1. Filter staff by specialty
2. View filtered list
3. Verify accuracy</t>
  </si>
  <si>
    <t xml:space="preserve">Only therapists with specialty should display</t>
  </si>
  <si>
    <t xml:space="preserve">TC-FUNC-019</t>
  </si>
  <si>
    <t xml:space="preserve">Test staff registry CRUD operations</t>
  </si>
  <si>
    <t xml:space="preserve">Admin access granted</t>
  </si>
  <si>
    <t xml:space="preserve">1. Create new therapist
2. Edit details
3. Verify save</t>
  </si>
  <si>
    <t xml:space="preserve">All CRUD operations should work without errors</t>
  </si>
  <si>
    <t xml:space="preserve">TC-FUNC-020</t>
  </si>
  <si>
    <t xml:space="preserve">Test outlet and outlet manager assignment</t>
  </si>
  <si>
    <t xml:space="preserve">Outlets configured</t>
  </si>
  <si>
    <t xml:space="preserve">1. Assign manager to outlet
2. Verify access control
3. Check manager permissions</t>
  </si>
  <si>
    <t xml:space="preserve">Manager should only access assigned outlet</t>
  </si>
  <si>
    <t xml:space="preserve">TC-DATA-001</t>
  </si>
  <si>
    <t xml:space="preserve">Verify therapist name capitalization</t>
  </si>
  <si>
    <t xml:space="preserve">1. Check staff names in database
2. Verify capitalization
3. Look for 'indra' vs 'Indra'</t>
  </si>
  <si>
    <t xml:space="preserve">All therapist names should be properly capitalized</t>
  </si>
  <si>
    <t xml:space="preserve">TC-DATA-002</t>
  </si>
  <si>
    <t xml:space="preserve">Verify currency format consistency - IDR</t>
  </si>
  <si>
    <t xml:space="preserve">Admin dashboard loaded, revenue data visible</t>
  </si>
  <si>
    <t xml:space="preserve">1. Check revenue display
2. Check leaderboard
3. Check consumer bookings</t>
  </si>
  <si>
    <t xml:space="preserve">All should use 'Rp' prefix with id-ID locale formatting</t>
  </si>
  <si>
    <t xml:space="preserve">TC-DATA-003</t>
  </si>
  <si>
    <t xml:space="preserve">Verify decimal separator in prices</t>
  </si>
  <si>
    <t xml:space="preserve">System Variables page loaded</t>
  </si>
  <si>
    <t xml:space="preserve">1. Check credit card rates
2. Verify decimal separator
3. Test input and display</t>
  </si>
  <si>
    <t xml:space="preserve">Should use period (.) not comma (,) for decimals</t>
  </si>
  <si>
    <t xml:space="preserve">TC-DATA-004</t>
  </si>
  <si>
    <t xml:space="preserve">Verify time format consistency</t>
  </si>
  <si>
    <t xml:space="preserve">Outlets page and pipeline loaded</t>
  </si>
  <si>
    <t xml:space="preserve">1. Check outlet operating hours
2. Check booking times
3. Check system times</t>
  </si>
  <si>
    <t xml:space="preserve">All times should use HH:MM format with colons</t>
  </si>
  <si>
    <t xml:space="preserve">TC-DATA-005</t>
  </si>
  <si>
    <t xml:space="preserve">Verify staff outlet assignments</t>
  </si>
  <si>
    <t xml:space="preserve">Pipeline and staff registry loaded</t>
  </si>
  <si>
    <t xml:space="preserve">1. Check assigned therapists
2. Verify outlet match
3. Check booking assignments</t>
  </si>
  <si>
    <t xml:space="preserve">Staff should be assigned only to their outlet</t>
  </si>
  <si>
    <t xml:space="preserve">TC-DATA-006</t>
  </si>
  <si>
    <t xml:space="preserve">Verify all outlets in leaderboard</t>
  </si>
  <si>
    <t xml:space="preserve">Leaderboard page loaded</t>
  </si>
  <si>
    <t xml:space="preserve">1. Count outlets in database
2. Count outlets in leaderboard
3. Verify all included</t>
  </si>
  <si>
    <t xml:space="preserve">All outlets should appear even with 0 revenue</t>
  </si>
  <si>
    <t xml:space="preserve">TC-DATA-007</t>
  </si>
  <si>
    <t xml:space="preserve">Verify booking status consistency</t>
  </si>
  <si>
    <t xml:space="preserve">Multiple bookings exist with different statuses</t>
  </si>
  <si>
    <t xml:space="preserve">1. Create and complete bookings
2. Check status transitions
3. Verify in all views</t>
  </si>
  <si>
    <t xml:space="preserve">Status should be consistent across all views</t>
  </si>
  <si>
    <t xml:space="preserve">TC-DATA-008</t>
  </si>
  <si>
    <t xml:space="preserve">Verify revenue aggregation accuracy</t>
  </si>
  <si>
    <t xml:space="preserve">1. Sum manual calculations
2. Compare with system total
3. Verify settled vs unsettled</t>
  </si>
  <si>
    <t xml:space="preserve">Revenue totals should match manual calculations</t>
  </si>
  <si>
    <t xml:space="preserve">TC-DATA-009</t>
  </si>
  <si>
    <t xml:space="preserve">Verify booking summary data accuracy</t>
  </si>
  <si>
    <t xml:space="preserve">Booking in confirmation stage</t>
  </si>
  <si>
    <t xml:space="preserve">1. Review booking details
2. Verify therapist name
3. Check time and date</t>
  </si>
  <si>
    <t xml:space="preserve">All details should match selected values</t>
  </si>
  <si>
    <t xml:space="preserve">TC-DATA-010</t>
  </si>
  <si>
    <t xml:space="preserve">Verify therapist specialty assignments</t>
  </si>
  <si>
    <t xml:space="preserve">Staff registry loaded with specialties</t>
  </si>
  <si>
    <t xml:space="preserve">1. Check specialty for each therapist
2. Verify consistency
3. Match with services</t>
  </si>
  <si>
    <t xml:space="preserve">Specialties should match offered services</t>
  </si>
  <si>
    <t xml:space="preserve">TC-DATA-011</t>
  </si>
  <si>
    <t xml:space="preserve">Verify price calculation on booking</t>
  </si>
  <si>
    <t xml:space="preserve">Booking with service selection</t>
  </si>
  <si>
    <t xml:space="preserve">1. Select service with known price
2. Check displayed price
3. Verify currency format</t>
  </si>
  <si>
    <t xml:space="preserve">Price should be correct and properly formatted</t>
  </si>
  <si>
    <t xml:space="preserve">TC-DATA-012</t>
  </si>
  <si>
    <t xml:space="preserve">Verify leaderboard calculations</t>
  </si>
  <si>
    <t xml:space="preserve">1. Calculate manual totals
2. Compare with leaderboard
3. Check aggregation logic</t>
  </si>
  <si>
    <t xml:space="preserve">Calculations should match across all outlets</t>
  </si>
  <si>
    <t xml:space="preserve">TC-UX-001</t>
  </si>
  <si>
    <t xml:space="preserve">Verify sidebar naming consistency</t>
  </si>
  <si>
    <t xml:space="preserve">Admin dashboard loaded</t>
  </si>
  <si>
    <t xml:space="preserve">1. Check sidebar labels
2. Check page titles
3. Compare for consistency</t>
  </si>
  <si>
    <t xml:space="preserve">Sidebar and page titles should match</t>
  </si>
  <si>
    <t xml:space="preserve">TC-UX-002</t>
  </si>
  <si>
    <t xml:space="preserve">Verify form field clearing on reload</t>
  </si>
  <si>
    <t xml:space="preserve">Add Staff form loaded</t>
  </si>
  <si>
    <t xml:space="preserve">1. Check pre-filled values in form
2. Clear and reload
3. Verify clean state</t>
  </si>
  <si>
    <t xml:space="preserve">Form should have empty inputs, no pre-filled values</t>
  </si>
  <si>
    <t xml:space="preserve">TC-UX-003</t>
  </si>
  <si>
    <t xml:space="preserve">Verify contact details visibility on mobile</t>
  </si>
  <si>
    <t xml:space="preserve">Booking confirmation on mobile viewport</t>
  </si>
  <si>
    <t xml:space="preserve">1. Open booking confirmation
2. Scroll to Contact Details
3. Check button overlap</t>
  </si>
  <si>
    <t xml:space="preserve">Contact Details should not be hidden by buttons</t>
  </si>
  <si>
    <t xml:space="preserve">TC-UX-004</t>
  </si>
  <si>
    <t xml:space="preserve">Verify 404 page branding and UX</t>
  </si>
  <si>
    <t xml:space="preserve">Navigate to non-existent page</t>
  </si>
  <si>
    <t xml:space="preserve">1. Go to invalid URL
2. Check page design
3. Verify navigation options</t>
  </si>
  <si>
    <t xml:space="preserve">Should show custom 404 with helpful links</t>
  </si>
  <si>
    <t xml:space="preserve">TC-UX-005</t>
  </si>
  <si>
    <t xml:space="preserve">Verify responsive layout on desktop</t>
  </si>
  <si>
    <t xml:space="preserve">Desktop viewport (1920x1080)</t>
  </si>
  <si>
    <t xml:space="preserve">1. Open homepage
2. Check layout responsiveness
3. Verify content width</t>
  </si>
  <si>
    <t xml:space="preserve">Should use full width, not fixed mobile container</t>
  </si>
  <si>
    <t xml:space="preserve">TC-UX-006</t>
  </si>
  <si>
    <t xml:space="preserve">Verify login field label clarity</t>
  </si>
  <si>
    <t xml:space="preserve">Admin login page</t>
  </si>
  <si>
    <t xml:space="preserve">1. Check login field label
2. Verify clarity for mobile/ID input
3. Test input types</t>
  </si>
  <si>
    <t xml:space="preserve">Label should be 'ID / Mobile Number'</t>
  </si>
  <si>
    <t xml:space="preserve">TC-UX-007</t>
  </si>
  <si>
    <t xml:space="preserve">Verify booking flow messaging</t>
  </si>
  <si>
    <t xml:space="preserve">Complete booking flow</t>
  </si>
  <si>
    <t xml:space="preserve">1. Navigate through booking steps
2. Check confirmation messages
3. Verify clarity</t>
  </si>
  <si>
    <t xml:space="preserve">All messages should be clear and actionable</t>
  </si>
  <si>
    <t xml:space="preserve">TC-UX-008</t>
  </si>
  <si>
    <t xml:space="preserve">Verify dashboard navigation clarity</t>
  </si>
  <si>
    <t xml:space="preserve">1. Identify navigation elements
2. Check label consistency
3. Verify intuitive layout</t>
  </si>
  <si>
    <t xml:space="preserve">Navigation should be clear and consistent</t>
  </si>
  <si>
    <t xml:space="preserve">TC-UX-009</t>
  </si>
  <si>
    <t xml:space="preserve">Verify error message clarity</t>
  </si>
  <si>
    <t xml:space="preserve">Complete booking with errors</t>
  </si>
  <si>
    <t xml:space="preserve">1. Trigger various errors
2. Check error messages
3. Verify solution guidance</t>
  </si>
  <si>
    <t xml:space="preserve">Error messages should be clear and suggest fixes</t>
  </si>
  <si>
    <t xml:space="preserve">TC-UX-010</t>
  </si>
  <si>
    <t xml:space="preserve">Verify service information completeness</t>
  </si>
  <si>
    <t xml:space="preserve">1. Check service details
2. Verify ratings/reviews
3. Check description completeness</t>
  </si>
  <si>
    <t xml:space="preserve">All service info should be complete and readable</t>
  </si>
  <si>
    <t xml:space="preserve">TC-REG-001</t>
  </si>
  <si>
    <t xml:space="preserve">Regression: Booking flow still functional</t>
  </si>
  <si>
    <t xml:space="preserve">Regression</t>
  </si>
  <si>
    <t xml:space="preserve">Services and therapists available</t>
  </si>
  <si>
    <t xml:space="preserve">1. Complete full booking flow
2. Verify all steps work
3. Check confirmation</t>
  </si>
  <si>
    <t xml:space="preserve">Booking should complete without errors</t>
  </si>
  <si>
    <t xml:space="preserve">TC-REG-002</t>
  </si>
  <si>
    <t xml:space="preserve">Regression: Sports Massage spelling correct</t>
  </si>
  <si>
    <t xml:space="preserve">Staff specialty list loaded</t>
  </si>
  <si>
    <t xml:space="preserve">1. Check specialty list
2. Search for 'Sports Massage'
3. Verify spelling</t>
  </si>
  <si>
    <t xml:space="preserve">Should be 'Sports Massage' not 'Sports Massage'</t>
  </si>
  <si>
    <t xml:space="preserve">TC-REG-003</t>
  </si>
  <si>
    <t xml:space="preserve">Regression: HSTS header present</t>
  </si>
  <si>
    <t xml:space="preserve">Network DevTools available</t>
  </si>
  <si>
    <t xml:space="preserve">1. Check response headers
2. Look for HSTS
3. Verify max-age</t>
  </si>
  <si>
    <t xml:space="preserve">HSTS header should be present and valid</t>
  </si>
  <si>
    <t xml:space="preserve">TC-REG-004</t>
  </si>
  <si>
    <t xml:space="preserve">Regression: Sidebar navigation working</t>
  </si>
  <si>
    <t xml:space="preserve">1. Click each sidebar link
2. Verify navigation
3. Check page changes</t>
  </si>
  <si>
    <t xml:space="preserve">All sidebar navigation should work</t>
  </si>
  <si>
    <t xml:space="preserve">TC-REG-005</t>
  </si>
  <si>
    <t xml:space="preserve">Regression: Booking confirmation email sending</t>
  </si>
  <si>
    <t xml:space="preserve">Email system functional</t>
  </si>
  <si>
    <t xml:space="preserve">1. Complete booking
2. Check email
3. Verify content</t>
  </si>
  <si>
    <t xml:space="preserve">Confirmation email should be sent automatically</t>
  </si>
  <si>
    <t xml:space="preserve">Flexology v4 Audit - Summary Dashboard</t>
  </si>
  <si>
    <t xml:space="preserve">Findings by Severity</t>
  </si>
  <si>
    <t xml:space="preserve">Total</t>
  </si>
  <si>
    <t xml:space="preserve">Findings by Status</t>
  </si>
  <si>
    <t xml:space="preserve">FIXED</t>
  </si>
  <si>
    <t xml:space="preserve">Findings by Module</t>
  </si>
  <si>
    <t xml:space="preserve">Findings by Category</t>
  </si>
  <si>
    <t xml:space="preserve">Count</t>
  </si>
  <si>
    <t xml:space="preserve">Deployment Readiness Score</t>
  </si>
  <si>
    <t xml:space="preserve">Score (/10)</t>
  </si>
  <si>
    <t xml:space="preserve">OVERALL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</si>
</sst>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5B4"/>
      </patternFill>
    </fill>
    <fill>
      <patternFill patternType="solid">
        <fgColor rgb="FFFFE5B4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5B4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5B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15"/>
    <col collapsed="false" customWidth="true" hidden="false" outlineLevel="0" max="7" min="7" style="0" width="50"/>
    <col collapsed="false" customWidth="true" hidden="false" outlineLevel="0" max="8" min="8" style="0" width="60"/>
    <col collapsed="false" customWidth="true" hidden="false" outlineLevel="0" max="9" min="9" style="0" width="8"/>
    <col collapsed="false" customWidth="true" hidden="false" outlineLevel="0" max="11" min="10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6.2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35.05" hidden="false" customHeight="false" outlineLevel="0" collapsed="false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20</v>
      </c>
      <c r="K3" s="2" t="s">
        <v>21</v>
      </c>
    </row>
    <row r="4" customFormat="false" ht="35.05" hidden="false" customHeight="false" outlineLevel="0" collapsed="false">
      <c r="A4" s="2" t="s">
        <v>28</v>
      </c>
      <c r="B4" s="2" t="s">
        <v>29</v>
      </c>
      <c r="C4" s="2" t="s">
        <v>13</v>
      </c>
      <c r="D4" s="2" t="s">
        <v>30</v>
      </c>
      <c r="E4" s="2" t="s">
        <v>31</v>
      </c>
      <c r="F4" s="2" t="s">
        <v>25</v>
      </c>
      <c r="G4" s="2" t="s">
        <v>32</v>
      </c>
      <c r="H4" s="2" t="s">
        <v>33</v>
      </c>
      <c r="I4" s="2" t="s">
        <v>19</v>
      </c>
      <c r="J4" s="2" t="s">
        <v>20</v>
      </c>
      <c r="K4" s="2" t="s">
        <v>34</v>
      </c>
    </row>
    <row r="5" customFormat="false" ht="35.05" hidden="false" customHeight="false" outlineLevel="0" collapsed="false">
      <c r="A5" s="2" t="s">
        <v>35</v>
      </c>
      <c r="B5" s="2" t="s">
        <v>36</v>
      </c>
      <c r="C5" s="2" t="s">
        <v>13</v>
      </c>
      <c r="D5" s="2" t="s">
        <v>37</v>
      </c>
      <c r="E5" s="2" t="s">
        <v>38</v>
      </c>
      <c r="F5" s="2" t="s">
        <v>25</v>
      </c>
      <c r="G5" s="2" t="s">
        <v>39</v>
      </c>
      <c r="H5" s="2" t="s">
        <v>40</v>
      </c>
      <c r="I5" s="2" t="s">
        <v>19</v>
      </c>
      <c r="J5" s="2" t="s">
        <v>41</v>
      </c>
      <c r="K5" s="2" t="s">
        <v>42</v>
      </c>
    </row>
    <row r="6" customFormat="false" ht="23.85" hidden="false" customHeight="false" outlineLevel="0" collapsed="false">
      <c r="A6" s="2" t="s">
        <v>43</v>
      </c>
      <c r="B6" s="2" t="s">
        <v>36</v>
      </c>
      <c r="C6" s="2" t="s">
        <v>13</v>
      </c>
      <c r="D6" s="2" t="s">
        <v>44</v>
      </c>
      <c r="E6" s="2" t="s">
        <v>45</v>
      </c>
      <c r="F6" s="2" t="s">
        <v>25</v>
      </c>
      <c r="G6" s="2" t="s">
        <v>46</v>
      </c>
      <c r="H6" s="2" t="s">
        <v>47</v>
      </c>
      <c r="I6" s="2" t="s">
        <v>19</v>
      </c>
      <c r="J6" s="2" t="s">
        <v>41</v>
      </c>
      <c r="K6" s="2" t="s">
        <v>42</v>
      </c>
    </row>
    <row r="7" customFormat="false" ht="35.05" hidden="false" customHeight="false" outlineLevel="0" collapsed="false">
      <c r="A7" s="2" t="s">
        <v>48</v>
      </c>
      <c r="B7" s="2" t="s">
        <v>36</v>
      </c>
      <c r="C7" s="2" t="s">
        <v>13</v>
      </c>
      <c r="D7" s="2" t="s">
        <v>49</v>
      </c>
      <c r="E7" s="2" t="s">
        <v>50</v>
      </c>
      <c r="F7" s="2" t="s">
        <v>25</v>
      </c>
      <c r="G7" s="2" t="s">
        <v>51</v>
      </c>
      <c r="H7" s="2" t="s">
        <v>52</v>
      </c>
      <c r="I7" s="2" t="s">
        <v>19</v>
      </c>
      <c r="J7" s="2" t="s">
        <v>20</v>
      </c>
      <c r="K7" s="2" t="s">
        <v>53</v>
      </c>
    </row>
    <row r="8" customFormat="false" ht="35.05" hidden="false" customHeight="false" outlineLevel="0" collapsed="false">
      <c r="A8" s="2" t="s">
        <v>54</v>
      </c>
      <c r="B8" s="2" t="s">
        <v>12</v>
      </c>
      <c r="C8" s="2" t="s">
        <v>13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19</v>
      </c>
      <c r="J8" s="2" t="s">
        <v>20</v>
      </c>
      <c r="K8" s="2" t="s">
        <v>21</v>
      </c>
    </row>
    <row r="9" customFormat="false" ht="35.05" hidden="false" customHeight="false" outlineLevel="0" collapsed="false">
      <c r="A9" s="2" t="s">
        <v>60</v>
      </c>
      <c r="B9" s="2" t="s">
        <v>36</v>
      </c>
      <c r="C9" s="2" t="s">
        <v>13</v>
      </c>
      <c r="D9" s="2" t="s">
        <v>61</v>
      </c>
      <c r="E9" s="2" t="s">
        <v>56</v>
      </c>
      <c r="F9" s="2" t="s">
        <v>57</v>
      </c>
      <c r="G9" s="2" t="s">
        <v>62</v>
      </c>
      <c r="H9" s="2" t="s">
        <v>63</v>
      </c>
      <c r="I9" s="2" t="s">
        <v>19</v>
      </c>
      <c r="J9" s="2" t="s">
        <v>20</v>
      </c>
      <c r="K9" s="2" t="s">
        <v>53</v>
      </c>
    </row>
    <row r="10" customFormat="false" ht="35.05" hidden="false" customHeight="false" outlineLevel="0" collapsed="false">
      <c r="A10" s="3" t="s">
        <v>64</v>
      </c>
      <c r="B10" s="3" t="s">
        <v>29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3" t="s">
        <v>71</v>
      </c>
      <c r="J10" s="3" t="s">
        <v>41</v>
      </c>
      <c r="K10" s="3" t="s">
        <v>21</v>
      </c>
    </row>
    <row r="11" customFormat="false" ht="35.05" hidden="false" customHeight="false" outlineLevel="0" collapsed="false">
      <c r="A11" s="3" t="s">
        <v>72</v>
      </c>
      <c r="B11" s="3" t="s">
        <v>73</v>
      </c>
      <c r="C11" s="3" t="s">
        <v>65</v>
      </c>
      <c r="D11" s="3" t="s">
        <v>74</v>
      </c>
      <c r="E11" s="3" t="s">
        <v>75</v>
      </c>
      <c r="F11" s="3" t="s">
        <v>25</v>
      </c>
      <c r="G11" s="3" t="s">
        <v>76</v>
      </c>
      <c r="H11" s="3" t="s">
        <v>77</v>
      </c>
      <c r="I11" s="3" t="s">
        <v>71</v>
      </c>
      <c r="J11" s="3" t="s">
        <v>41</v>
      </c>
      <c r="K11" s="3" t="s">
        <v>53</v>
      </c>
    </row>
    <row r="12" customFormat="false" ht="23.85" hidden="false" customHeight="false" outlineLevel="0" collapsed="false">
      <c r="A12" s="3" t="s">
        <v>78</v>
      </c>
      <c r="B12" s="3" t="s">
        <v>29</v>
      </c>
      <c r="C12" s="3" t="s">
        <v>65</v>
      </c>
      <c r="D12" s="3" t="s">
        <v>79</v>
      </c>
      <c r="E12" s="3" t="s">
        <v>80</v>
      </c>
      <c r="F12" s="3" t="s">
        <v>25</v>
      </c>
      <c r="G12" s="3" t="s">
        <v>81</v>
      </c>
      <c r="H12" s="3" t="s">
        <v>82</v>
      </c>
      <c r="I12" s="3" t="s">
        <v>71</v>
      </c>
      <c r="J12" s="3" t="s">
        <v>83</v>
      </c>
      <c r="K12" s="3" t="s">
        <v>53</v>
      </c>
    </row>
    <row r="13" customFormat="false" ht="23.85" hidden="false" customHeight="false" outlineLevel="0" collapsed="false">
      <c r="A13" s="3" t="s">
        <v>84</v>
      </c>
      <c r="B13" s="3" t="s">
        <v>85</v>
      </c>
      <c r="C13" s="3" t="s">
        <v>65</v>
      </c>
      <c r="D13" s="3" t="s">
        <v>86</v>
      </c>
      <c r="E13" s="3" t="s">
        <v>87</v>
      </c>
      <c r="F13" s="3" t="s">
        <v>25</v>
      </c>
      <c r="G13" s="3" t="s">
        <v>88</v>
      </c>
      <c r="H13" s="3" t="s">
        <v>89</v>
      </c>
      <c r="I13" s="3" t="s">
        <v>71</v>
      </c>
      <c r="J13" s="3" t="s">
        <v>83</v>
      </c>
      <c r="K13" s="3" t="s">
        <v>53</v>
      </c>
    </row>
    <row r="14" customFormat="false" ht="35.05" hidden="false" customHeight="false" outlineLevel="0" collapsed="false">
      <c r="A14" s="3" t="s">
        <v>90</v>
      </c>
      <c r="B14" s="3" t="s">
        <v>85</v>
      </c>
      <c r="C14" s="3" t="s">
        <v>65</v>
      </c>
      <c r="D14" s="3" t="s">
        <v>91</v>
      </c>
      <c r="E14" s="3" t="s">
        <v>92</v>
      </c>
      <c r="F14" s="3" t="s">
        <v>25</v>
      </c>
      <c r="G14" s="3" t="s">
        <v>93</v>
      </c>
      <c r="H14" s="3" t="s">
        <v>94</v>
      </c>
      <c r="I14" s="3" t="s">
        <v>71</v>
      </c>
      <c r="J14" s="3" t="s">
        <v>83</v>
      </c>
      <c r="K14" s="3" t="s">
        <v>42</v>
      </c>
    </row>
    <row r="15" customFormat="false" ht="23.85" hidden="false" customHeight="false" outlineLevel="0" collapsed="false">
      <c r="A15" s="3" t="s">
        <v>95</v>
      </c>
      <c r="B15" s="3" t="s">
        <v>29</v>
      </c>
      <c r="C15" s="3" t="s">
        <v>65</v>
      </c>
      <c r="D15" s="3" t="s">
        <v>96</v>
      </c>
      <c r="E15" s="3" t="s">
        <v>97</v>
      </c>
      <c r="F15" s="3" t="s">
        <v>25</v>
      </c>
      <c r="G15" s="3" t="s">
        <v>98</v>
      </c>
      <c r="H15" s="3" t="s">
        <v>99</v>
      </c>
      <c r="I15" s="3" t="s">
        <v>71</v>
      </c>
      <c r="J15" s="3" t="s">
        <v>83</v>
      </c>
      <c r="K15" s="3" t="s">
        <v>21</v>
      </c>
    </row>
    <row r="16" customFormat="false" ht="23.85" hidden="false" customHeight="false" outlineLevel="0" collapsed="false">
      <c r="A16" s="3" t="s">
        <v>100</v>
      </c>
      <c r="B16" s="3" t="s">
        <v>29</v>
      </c>
      <c r="C16" s="3" t="s">
        <v>65</v>
      </c>
      <c r="D16" s="3" t="s">
        <v>101</v>
      </c>
      <c r="E16" s="3" t="s">
        <v>56</v>
      </c>
      <c r="F16" s="3" t="s">
        <v>57</v>
      </c>
      <c r="G16" s="3" t="s">
        <v>102</v>
      </c>
      <c r="H16" s="3" t="s">
        <v>103</v>
      </c>
      <c r="I16" s="3" t="s">
        <v>71</v>
      </c>
      <c r="J16" s="3" t="s">
        <v>41</v>
      </c>
      <c r="K16" s="3" t="s">
        <v>53</v>
      </c>
    </row>
    <row r="17" customFormat="false" ht="23.85" hidden="false" customHeight="false" outlineLevel="0" collapsed="false">
      <c r="A17" s="4" t="s">
        <v>104</v>
      </c>
      <c r="B17" s="4" t="s">
        <v>85</v>
      </c>
      <c r="C17" s="4" t="s">
        <v>105</v>
      </c>
      <c r="D17" s="4" t="s">
        <v>106</v>
      </c>
      <c r="E17" s="4" t="s">
        <v>107</v>
      </c>
      <c r="F17" s="4" t="s">
        <v>25</v>
      </c>
      <c r="G17" s="4" t="s">
        <v>108</v>
      </c>
      <c r="H17" s="4" t="s">
        <v>109</v>
      </c>
      <c r="I17" s="4" t="s">
        <v>110</v>
      </c>
      <c r="J17" s="4" t="s">
        <v>41</v>
      </c>
      <c r="K17" s="4" t="s">
        <v>53</v>
      </c>
    </row>
    <row r="18" customFormat="false" ht="23.85" hidden="false" customHeight="false" outlineLevel="0" collapsed="false">
      <c r="A18" s="4" t="s">
        <v>111</v>
      </c>
      <c r="B18" s="4" t="s">
        <v>73</v>
      </c>
      <c r="C18" s="4" t="s">
        <v>105</v>
      </c>
      <c r="D18" s="4" t="s">
        <v>112</v>
      </c>
      <c r="E18" s="4" t="s">
        <v>113</v>
      </c>
      <c r="F18" s="4" t="s">
        <v>25</v>
      </c>
      <c r="G18" s="4" t="s">
        <v>114</v>
      </c>
      <c r="H18" s="4" t="s">
        <v>115</v>
      </c>
      <c r="I18" s="4" t="s">
        <v>110</v>
      </c>
      <c r="J18" s="4" t="s">
        <v>41</v>
      </c>
      <c r="K18" s="4" t="s">
        <v>53</v>
      </c>
    </row>
    <row r="19" customFormat="false" ht="23.85" hidden="false" customHeight="false" outlineLevel="0" collapsed="false">
      <c r="A19" s="4" t="s">
        <v>116</v>
      </c>
      <c r="B19" s="4" t="s">
        <v>85</v>
      </c>
      <c r="C19" s="4" t="s">
        <v>105</v>
      </c>
      <c r="D19" s="4" t="s">
        <v>117</v>
      </c>
      <c r="E19" s="4" t="s">
        <v>113</v>
      </c>
      <c r="F19" s="4" t="s">
        <v>25</v>
      </c>
      <c r="G19" s="4" t="s">
        <v>118</v>
      </c>
      <c r="H19" s="4" t="s">
        <v>119</v>
      </c>
      <c r="I19" s="4" t="s">
        <v>110</v>
      </c>
      <c r="J19" s="4" t="s">
        <v>41</v>
      </c>
      <c r="K19" s="4" t="s">
        <v>53</v>
      </c>
    </row>
    <row r="20" customFormat="false" ht="23.85" hidden="false" customHeight="false" outlineLevel="0" collapsed="false">
      <c r="A20" s="4" t="s">
        <v>120</v>
      </c>
      <c r="B20" s="4" t="s">
        <v>85</v>
      </c>
      <c r="C20" s="4" t="s">
        <v>105</v>
      </c>
      <c r="D20" s="4" t="s">
        <v>121</v>
      </c>
      <c r="E20" s="4" t="s">
        <v>122</v>
      </c>
      <c r="F20" s="4" t="s">
        <v>25</v>
      </c>
      <c r="G20" s="4" t="s">
        <v>123</v>
      </c>
      <c r="H20" s="4" t="s">
        <v>124</v>
      </c>
      <c r="I20" s="4" t="s">
        <v>110</v>
      </c>
      <c r="J20" s="4" t="s">
        <v>41</v>
      </c>
      <c r="K20" s="4" t="s">
        <v>53</v>
      </c>
    </row>
    <row r="21" customFormat="false" ht="23.85" hidden="false" customHeight="false" outlineLevel="0" collapsed="false">
      <c r="A21" s="4" t="s">
        <v>125</v>
      </c>
      <c r="B21" s="4" t="s">
        <v>85</v>
      </c>
      <c r="C21" s="4" t="s">
        <v>105</v>
      </c>
      <c r="D21" s="4" t="s">
        <v>126</v>
      </c>
      <c r="E21" s="4" t="s">
        <v>127</v>
      </c>
      <c r="F21" s="4" t="s">
        <v>25</v>
      </c>
      <c r="G21" s="4" t="s">
        <v>128</v>
      </c>
      <c r="H21" s="4" t="s">
        <v>129</v>
      </c>
      <c r="I21" s="4" t="s">
        <v>110</v>
      </c>
      <c r="J21" s="4" t="s">
        <v>83</v>
      </c>
      <c r="K21" s="4" t="s">
        <v>53</v>
      </c>
    </row>
    <row r="22" customFormat="false" ht="23.85" hidden="false" customHeight="false" outlineLevel="0" collapsed="false">
      <c r="A22" s="4" t="s">
        <v>130</v>
      </c>
      <c r="B22" s="4" t="s">
        <v>85</v>
      </c>
      <c r="C22" s="4" t="s">
        <v>105</v>
      </c>
      <c r="D22" s="4" t="s">
        <v>131</v>
      </c>
      <c r="E22" s="4" t="s">
        <v>132</v>
      </c>
      <c r="F22" s="4" t="s">
        <v>68</v>
      </c>
      <c r="G22" s="4" t="s">
        <v>133</v>
      </c>
      <c r="H22" s="4" t="s">
        <v>134</v>
      </c>
      <c r="I22" s="4" t="s">
        <v>110</v>
      </c>
      <c r="J22" s="4" t="s">
        <v>83</v>
      </c>
      <c r="K22" s="4" t="s">
        <v>53</v>
      </c>
    </row>
    <row r="23" customFormat="false" ht="23.85" hidden="false" customHeight="false" outlineLevel="0" collapsed="false">
      <c r="A23" s="4" t="s">
        <v>135</v>
      </c>
      <c r="B23" s="4" t="s">
        <v>73</v>
      </c>
      <c r="C23" s="4" t="s">
        <v>105</v>
      </c>
      <c r="D23" s="4" t="s">
        <v>136</v>
      </c>
      <c r="E23" s="4" t="s">
        <v>137</v>
      </c>
      <c r="F23" s="4" t="s">
        <v>138</v>
      </c>
      <c r="G23" s="4" t="s">
        <v>139</v>
      </c>
      <c r="H23" s="4" t="s">
        <v>140</v>
      </c>
      <c r="I23" s="4" t="s">
        <v>110</v>
      </c>
      <c r="J23" s="4" t="s">
        <v>41</v>
      </c>
      <c r="K23" s="4" t="s">
        <v>21</v>
      </c>
    </row>
    <row r="24" customFormat="false" ht="23.85" hidden="false" customHeight="false" outlineLevel="0" collapsed="false">
      <c r="A24" s="4" t="s">
        <v>141</v>
      </c>
      <c r="B24" s="4" t="s">
        <v>29</v>
      </c>
      <c r="C24" s="4" t="s">
        <v>105</v>
      </c>
      <c r="D24" s="4" t="s">
        <v>142</v>
      </c>
      <c r="E24" s="4" t="s">
        <v>143</v>
      </c>
      <c r="F24" s="4" t="s">
        <v>138</v>
      </c>
      <c r="G24" s="4" t="s">
        <v>144</v>
      </c>
      <c r="H24" s="4" t="s">
        <v>145</v>
      </c>
      <c r="I24" s="4" t="s">
        <v>110</v>
      </c>
      <c r="J24" s="4" t="s">
        <v>83</v>
      </c>
      <c r="K24" s="4" t="s">
        <v>21</v>
      </c>
    </row>
    <row r="25" customFormat="false" ht="23.85" hidden="false" customHeight="false" outlineLevel="0" collapsed="false">
      <c r="A25" s="5" t="s">
        <v>146</v>
      </c>
      <c r="B25" s="5" t="s">
        <v>73</v>
      </c>
      <c r="C25" s="5" t="s">
        <v>147</v>
      </c>
      <c r="D25" s="5" t="s">
        <v>148</v>
      </c>
      <c r="E25" s="5" t="s">
        <v>149</v>
      </c>
      <c r="F25" s="5" t="s">
        <v>25</v>
      </c>
      <c r="G25" s="5" t="s">
        <v>150</v>
      </c>
      <c r="H25" s="5" t="s">
        <v>151</v>
      </c>
      <c r="I25" s="5" t="s">
        <v>152</v>
      </c>
      <c r="J25" s="5" t="s">
        <v>20</v>
      </c>
      <c r="K25" s="5" t="s">
        <v>21</v>
      </c>
    </row>
    <row r="26" customFormat="false" ht="23.85" hidden="false" customHeight="false" outlineLevel="0" collapsed="false">
      <c r="A26" s="5" t="s">
        <v>153</v>
      </c>
      <c r="B26" s="5" t="s">
        <v>73</v>
      </c>
      <c r="C26" s="5" t="s">
        <v>147</v>
      </c>
      <c r="D26" s="5" t="s">
        <v>154</v>
      </c>
      <c r="E26" s="5" t="s">
        <v>155</v>
      </c>
      <c r="F26" s="5" t="s">
        <v>25</v>
      </c>
      <c r="G26" s="5" t="s">
        <v>156</v>
      </c>
      <c r="H26" s="5" t="s">
        <v>157</v>
      </c>
      <c r="I26" s="5" t="s">
        <v>152</v>
      </c>
      <c r="J26" s="5" t="s">
        <v>41</v>
      </c>
      <c r="K26" s="5" t="s">
        <v>42</v>
      </c>
    </row>
    <row r="27" customFormat="false" ht="23.85" hidden="false" customHeight="false" outlineLevel="0" collapsed="false">
      <c r="A27" s="5" t="s">
        <v>158</v>
      </c>
      <c r="B27" s="5" t="s">
        <v>73</v>
      </c>
      <c r="C27" s="5" t="s">
        <v>147</v>
      </c>
      <c r="D27" s="5" t="s">
        <v>159</v>
      </c>
      <c r="E27" s="5" t="s">
        <v>160</v>
      </c>
      <c r="F27" s="5" t="s">
        <v>138</v>
      </c>
      <c r="G27" s="5" t="s">
        <v>161</v>
      </c>
      <c r="H27" s="5" t="s">
        <v>162</v>
      </c>
      <c r="I27" s="5" t="s">
        <v>152</v>
      </c>
      <c r="J27" s="5" t="s">
        <v>41</v>
      </c>
      <c r="K27" s="5" t="s">
        <v>53</v>
      </c>
    </row>
  </sheetData>
  <autoFilter ref="A1:K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5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8" min="7" style="0" width="40"/>
  </cols>
  <sheetData>
    <row r="1" customFormat="false" ht="26.85" hidden="false" customHeight="false" outlineLevel="0" collapsed="false">
      <c r="A1" s="1" t="s">
        <v>163</v>
      </c>
      <c r="B1" s="1" t="s">
        <v>10</v>
      </c>
      <c r="C1" s="1" t="s">
        <v>3</v>
      </c>
      <c r="D1" s="1" t="s">
        <v>8</v>
      </c>
      <c r="E1" s="1" t="s">
        <v>164</v>
      </c>
      <c r="F1" s="1" t="s">
        <v>165</v>
      </c>
      <c r="G1" s="1" t="s">
        <v>166</v>
      </c>
      <c r="H1" s="1" t="s">
        <v>167</v>
      </c>
    </row>
    <row r="2" customFormat="false" ht="46.25" hidden="false" customHeight="false" outlineLevel="0" collapsed="false">
      <c r="A2" s="6" t="s">
        <v>168</v>
      </c>
      <c r="B2" s="6" t="s">
        <v>21</v>
      </c>
      <c r="C2" s="6" t="s">
        <v>169</v>
      </c>
      <c r="D2" s="6" t="s">
        <v>19</v>
      </c>
      <c r="E2" s="6" t="s">
        <v>12</v>
      </c>
      <c r="F2" s="6" t="s">
        <v>170</v>
      </c>
      <c r="G2" s="6" t="s">
        <v>171</v>
      </c>
      <c r="H2" s="6" t="s">
        <v>172</v>
      </c>
    </row>
    <row r="3" customFormat="false" ht="46.25" hidden="false" customHeight="false" outlineLevel="0" collapsed="false">
      <c r="A3" s="6" t="s">
        <v>173</v>
      </c>
      <c r="B3" s="6" t="s">
        <v>21</v>
      </c>
      <c r="C3" s="6" t="s">
        <v>174</v>
      </c>
      <c r="D3" s="6" t="s">
        <v>19</v>
      </c>
      <c r="E3" s="6" t="s">
        <v>12</v>
      </c>
      <c r="F3" s="6" t="s">
        <v>175</v>
      </c>
      <c r="G3" s="6" t="s">
        <v>176</v>
      </c>
      <c r="H3" s="6" t="s">
        <v>177</v>
      </c>
    </row>
    <row r="4" customFormat="false" ht="35.05" hidden="false" customHeight="false" outlineLevel="0" collapsed="false">
      <c r="A4" s="6" t="s">
        <v>178</v>
      </c>
      <c r="B4" s="6" t="s">
        <v>21</v>
      </c>
      <c r="C4" s="6" t="s">
        <v>179</v>
      </c>
      <c r="D4" s="6" t="s">
        <v>71</v>
      </c>
      <c r="E4" s="6" t="s">
        <v>12</v>
      </c>
      <c r="F4" s="6" t="s">
        <v>180</v>
      </c>
      <c r="G4" s="6" t="s">
        <v>181</v>
      </c>
      <c r="H4" s="6" t="s">
        <v>182</v>
      </c>
    </row>
    <row r="5" customFormat="false" ht="35.05" hidden="false" customHeight="false" outlineLevel="0" collapsed="false">
      <c r="A5" s="6" t="s">
        <v>183</v>
      </c>
      <c r="B5" s="6" t="s">
        <v>53</v>
      </c>
      <c r="C5" s="6" t="s">
        <v>184</v>
      </c>
      <c r="D5" s="6" t="s">
        <v>71</v>
      </c>
      <c r="E5" s="6" t="s">
        <v>12</v>
      </c>
      <c r="F5" s="6" t="s">
        <v>185</v>
      </c>
      <c r="G5" s="6" t="s">
        <v>186</v>
      </c>
      <c r="H5" s="6" t="s">
        <v>187</v>
      </c>
    </row>
    <row r="6" customFormat="false" ht="35.05" hidden="false" customHeight="false" outlineLevel="0" collapsed="false">
      <c r="A6" s="6" t="s">
        <v>188</v>
      </c>
      <c r="B6" s="6" t="s">
        <v>21</v>
      </c>
      <c r="C6" s="6" t="s">
        <v>189</v>
      </c>
      <c r="D6" s="6" t="s">
        <v>71</v>
      </c>
      <c r="E6" s="6" t="s">
        <v>12</v>
      </c>
      <c r="F6" s="6" t="s">
        <v>190</v>
      </c>
      <c r="G6" s="6" t="s">
        <v>191</v>
      </c>
      <c r="H6" s="6" t="s">
        <v>192</v>
      </c>
    </row>
    <row r="7" customFormat="false" ht="35.05" hidden="false" customHeight="false" outlineLevel="0" collapsed="false">
      <c r="A7" s="6" t="s">
        <v>193</v>
      </c>
      <c r="B7" s="6" t="s">
        <v>53</v>
      </c>
      <c r="C7" s="6" t="s">
        <v>194</v>
      </c>
      <c r="D7" s="6" t="s">
        <v>71</v>
      </c>
      <c r="E7" s="6" t="s">
        <v>12</v>
      </c>
      <c r="F7" s="6" t="s">
        <v>195</v>
      </c>
      <c r="G7" s="6" t="s">
        <v>196</v>
      </c>
      <c r="H7" s="6" t="s">
        <v>197</v>
      </c>
    </row>
    <row r="8" customFormat="false" ht="35.05" hidden="false" customHeight="false" outlineLevel="0" collapsed="false">
      <c r="A8" s="6" t="s">
        <v>198</v>
      </c>
      <c r="B8" s="6" t="s">
        <v>21</v>
      </c>
      <c r="C8" s="6" t="s">
        <v>199</v>
      </c>
      <c r="D8" s="6" t="s">
        <v>71</v>
      </c>
      <c r="E8" s="6" t="s">
        <v>12</v>
      </c>
      <c r="F8" s="6" t="s">
        <v>200</v>
      </c>
      <c r="G8" s="6" t="s">
        <v>201</v>
      </c>
      <c r="H8" s="6" t="s">
        <v>202</v>
      </c>
    </row>
    <row r="9" customFormat="false" ht="35.05" hidden="false" customHeight="false" outlineLevel="0" collapsed="false">
      <c r="A9" s="6" t="s">
        <v>203</v>
      </c>
      <c r="B9" s="6" t="s">
        <v>53</v>
      </c>
      <c r="C9" s="6" t="s">
        <v>204</v>
      </c>
      <c r="D9" s="6" t="s">
        <v>71</v>
      </c>
      <c r="E9" s="6" t="s">
        <v>12</v>
      </c>
      <c r="F9" s="6" t="s">
        <v>205</v>
      </c>
      <c r="G9" s="6" t="s">
        <v>206</v>
      </c>
      <c r="H9" s="6" t="s">
        <v>207</v>
      </c>
    </row>
    <row r="10" customFormat="false" ht="35.05" hidden="false" customHeight="false" outlineLevel="0" collapsed="false">
      <c r="A10" s="6" t="s">
        <v>208</v>
      </c>
      <c r="B10" s="6" t="s">
        <v>42</v>
      </c>
      <c r="C10" s="6" t="s">
        <v>209</v>
      </c>
      <c r="D10" s="6" t="s">
        <v>19</v>
      </c>
      <c r="E10" s="6" t="s">
        <v>36</v>
      </c>
      <c r="F10" s="6" t="s">
        <v>210</v>
      </c>
      <c r="G10" s="6" t="s">
        <v>211</v>
      </c>
      <c r="H10" s="6" t="s">
        <v>212</v>
      </c>
    </row>
    <row r="11" customFormat="false" ht="35.05" hidden="false" customHeight="false" outlineLevel="0" collapsed="false">
      <c r="A11" s="6" t="s">
        <v>213</v>
      </c>
      <c r="B11" s="6" t="s">
        <v>42</v>
      </c>
      <c r="C11" s="6" t="s">
        <v>214</v>
      </c>
      <c r="D11" s="6" t="s">
        <v>19</v>
      </c>
      <c r="E11" s="6" t="s">
        <v>36</v>
      </c>
      <c r="F11" s="6" t="s">
        <v>210</v>
      </c>
      <c r="G11" s="6" t="s">
        <v>215</v>
      </c>
      <c r="H11" s="6" t="s">
        <v>216</v>
      </c>
    </row>
    <row r="12" customFormat="false" ht="35.05" hidden="false" customHeight="false" outlineLevel="0" collapsed="false">
      <c r="A12" s="6" t="s">
        <v>217</v>
      </c>
      <c r="B12" s="6" t="s">
        <v>42</v>
      </c>
      <c r="C12" s="6" t="s">
        <v>218</v>
      </c>
      <c r="D12" s="6" t="s">
        <v>19</v>
      </c>
      <c r="E12" s="6" t="s">
        <v>36</v>
      </c>
      <c r="F12" s="6" t="s">
        <v>210</v>
      </c>
      <c r="G12" s="6" t="s">
        <v>219</v>
      </c>
      <c r="H12" s="6" t="s">
        <v>220</v>
      </c>
    </row>
    <row r="13" customFormat="false" ht="35.05" hidden="false" customHeight="false" outlineLevel="0" collapsed="false">
      <c r="A13" s="6" t="s">
        <v>221</v>
      </c>
      <c r="B13" s="6" t="s">
        <v>42</v>
      </c>
      <c r="C13" s="6" t="s">
        <v>222</v>
      </c>
      <c r="D13" s="6" t="s">
        <v>19</v>
      </c>
      <c r="E13" s="6" t="s">
        <v>36</v>
      </c>
      <c r="F13" s="6" t="s">
        <v>223</v>
      </c>
      <c r="G13" s="6" t="s">
        <v>224</v>
      </c>
      <c r="H13" s="6" t="s">
        <v>225</v>
      </c>
    </row>
    <row r="14" customFormat="false" ht="35.05" hidden="false" customHeight="false" outlineLevel="0" collapsed="false">
      <c r="A14" s="6" t="s">
        <v>226</v>
      </c>
      <c r="B14" s="6" t="s">
        <v>53</v>
      </c>
      <c r="C14" s="6" t="s">
        <v>227</v>
      </c>
      <c r="D14" s="6" t="s">
        <v>19</v>
      </c>
      <c r="E14" s="6" t="s">
        <v>36</v>
      </c>
      <c r="F14" s="6" t="s">
        <v>228</v>
      </c>
      <c r="G14" s="6" t="s">
        <v>229</v>
      </c>
      <c r="H14" s="6" t="s">
        <v>230</v>
      </c>
    </row>
    <row r="15" customFormat="false" ht="46.25" hidden="false" customHeight="false" outlineLevel="0" collapsed="false">
      <c r="A15" s="6" t="s">
        <v>231</v>
      </c>
      <c r="B15" s="6" t="s">
        <v>53</v>
      </c>
      <c r="C15" s="6" t="s">
        <v>232</v>
      </c>
      <c r="D15" s="6" t="s">
        <v>71</v>
      </c>
      <c r="E15" s="6" t="s">
        <v>36</v>
      </c>
      <c r="F15" s="6" t="s">
        <v>233</v>
      </c>
      <c r="G15" s="6" t="s">
        <v>234</v>
      </c>
      <c r="H15" s="6" t="s">
        <v>235</v>
      </c>
    </row>
    <row r="16" customFormat="false" ht="35.05" hidden="false" customHeight="false" outlineLevel="0" collapsed="false">
      <c r="A16" s="6" t="s">
        <v>236</v>
      </c>
      <c r="B16" s="6" t="s">
        <v>53</v>
      </c>
      <c r="C16" s="6" t="s">
        <v>237</v>
      </c>
      <c r="D16" s="6" t="s">
        <v>71</v>
      </c>
      <c r="E16" s="6" t="s">
        <v>36</v>
      </c>
      <c r="F16" s="6" t="s">
        <v>238</v>
      </c>
      <c r="G16" s="6" t="s">
        <v>239</v>
      </c>
      <c r="H16" s="6" t="s">
        <v>240</v>
      </c>
    </row>
    <row r="17" customFormat="false" ht="35.05" hidden="false" customHeight="false" outlineLevel="0" collapsed="false">
      <c r="A17" s="6" t="s">
        <v>241</v>
      </c>
      <c r="B17" s="6" t="s">
        <v>53</v>
      </c>
      <c r="C17" s="6" t="s">
        <v>242</v>
      </c>
      <c r="D17" s="6" t="s">
        <v>71</v>
      </c>
      <c r="E17" s="6" t="s">
        <v>36</v>
      </c>
      <c r="F17" s="6" t="s">
        <v>238</v>
      </c>
      <c r="G17" s="6" t="s">
        <v>243</v>
      </c>
      <c r="H17" s="6" t="s">
        <v>244</v>
      </c>
    </row>
    <row r="18" customFormat="false" ht="35.05" hidden="false" customHeight="false" outlineLevel="0" collapsed="false">
      <c r="A18" s="6" t="s">
        <v>245</v>
      </c>
      <c r="B18" s="6" t="s">
        <v>42</v>
      </c>
      <c r="C18" s="6" t="s">
        <v>246</v>
      </c>
      <c r="D18" s="6" t="s">
        <v>71</v>
      </c>
      <c r="E18" s="6" t="s">
        <v>36</v>
      </c>
      <c r="F18" s="6" t="s">
        <v>247</v>
      </c>
      <c r="G18" s="6" t="s">
        <v>248</v>
      </c>
      <c r="H18" s="6" t="s">
        <v>249</v>
      </c>
    </row>
    <row r="19" customFormat="false" ht="46.25" hidden="false" customHeight="false" outlineLevel="0" collapsed="false">
      <c r="A19" s="6" t="s">
        <v>250</v>
      </c>
      <c r="B19" s="6" t="s">
        <v>42</v>
      </c>
      <c r="C19" s="6" t="s">
        <v>251</v>
      </c>
      <c r="D19" s="6" t="s">
        <v>71</v>
      </c>
      <c r="E19" s="6" t="s">
        <v>36</v>
      </c>
      <c r="F19" s="6" t="s">
        <v>210</v>
      </c>
      <c r="G19" s="6" t="s">
        <v>252</v>
      </c>
      <c r="H19" s="6" t="s">
        <v>253</v>
      </c>
    </row>
    <row r="20" customFormat="false" ht="23.85" hidden="false" customHeight="false" outlineLevel="0" collapsed="false">
      <c r="A20" s="6" t="s">
        <v>254</v>
      </c>
      <c r="B20" s="6" t="s">
        <v>21</v>
      </c>
      <c r="C20" s="6" t="s">
        <v>255</v>
      </c>
      <c r="D20" s="6" t="s">
        <v>71</v>
      </c>
      <c r="E20" s="6" t="s">
        <v>256</v>
      </c>
      <c r="F20" s="6" t="s">
        <v>257</v>
      </c>
      <c r="G20" s="6" t="s">
        <v>258</v>
      </c>
      <c r="H20" s="6" t="s">
        <v>259</v>
      </c>
    </row>
    <row r="21" customFormat="false" ht="35.05" hidden="false" customHeight="false" outlineLevel="0" collapsed="false">
      <c r="A21" s="6" t="s">
        <v>260</v>
      </c>
      <c r="B21" s="6" t="s">
        <v>21</v>
      </c>
      <c r="C21" s="6" t="s">
        <v>261</v>
      </c>
      <c r="D21" s="6" t="s">
        <v>71</v>
      </c>
      <c r="E21" s="6" t="s">
        <v>256</v>
      </c>
      <c r="F21" s="6" t="s">
        <v>262</v>
      </c>
      <c r="G21" s="6" t="s">
        <v>263</v>
      </c>
      <c r="H21" s="6" t="s">
        <v>264</v>
      </c>
    </row>
    <row r="22" customFormat="false" ht="23.85" hidden="false" customHeight="false" outlineLevel="0" collapsed="false">
      <c r="A22" s="6" t="s">
        <v>265</v>
      </c>
      <c r="B22" s="6" t="s">
        <v>34</v>
      </c>
      <c r="C22" s="6" t="s">
        <v>266</v>
      </c>
      <c r="D22" s="6" t="s">
        <v>19</v>
      </c>
      <c r="E22" s="6" t="s">
        <v>256</v>
      </c>
      <c r="F22" s="6" t="s">
        <v>267</v>
      </c>
      <c r="G22" s="6" t="s">
        <v>268</v>
      </c>
      <c r="H22" s="6" t="s">
        <v>269</v>
      </c>
    </row>
    <row r="23" customFormat="false" ht="35.05" hidden="false" customHeight="false" outlineLevel="0" collapsed="false">
      <c r="A23" s="6" t="s">
        <v>270</v>
      </c>
      <c r="B23" s="6" t="s">
        <v>34</v>
      </c>
      <c r="C23" s="6" t="s">
        <v>271</v>
      </c>
      <c r="D23" s="6" t="s">
        <v>19</v>
      </c>
      <c r="E23" s="6" t="s">
        <v>256</v>
      </c>
      <c r="F23" s="6" t="s">
        <v>272</v>
      </c>
      <c r="G23" s="6" t="s">
        <v>273</v>
      </c>
      <c r="H23" s="6" t="s">
        <v>274</v>
      </c>
    </row>
    <row r="24" customFormat="false" ht="35.05" hidden="false" customHeight="false" outlineLevel="0" collapsed="false">
      <c r="A24" s="6" t="s">
        <v>275</v>
      </c>
      <c r="B24" s="6" t="s">
        <v>34</v>
      </c>
      <c r="C24" s="6" t="s">
        <v>276</v>
      </c>
      <c r="D24" s="6" t="s">
        <v>19</v>
      </c>
      <c r="E24" s="6" t="s">
        <v>256</v>
      </c>
      <c r="F24" s="6" t="s">
        <v>277</v>
      </c>
      <c r="G24" s="6" t="s">
        <v>278</v>
      </c>
      <c r="H24" s="6" t="s">
        <v>279</v>
      </c>
    </row>
    <row r="25" customFormat="false" ht="35.05" hidden="false" customHeight="false" outlineLevel="0" collapsed="false">
      <c r="A25" s="6" t="s">
        <v>280</v>
      </c>
      <c r="B25" s="6" t="s">
        <v>34</v>
      </c>
      <c r="C25" s="6" t="s">
        <v>281</v>
      </c>
      <c r="D25" s="6" t="s">
        <v>19</v>
      </c>
      <c r="E25" s="6" t="s">
        <v>256</v>
      </c>
      <c r="F25" s="6" t="s">
        <v>282</v>
      </c>
      <c r="G25" s="6" t="s">
        <v>283</v>
      </c>
      <c r="H25" s="6" t="s">
        <v>284</v>
      </c>
    </row>
    <row r="26" customFormat="false" ht="35.05" hidden="false" customHeight="false" outlineLevel="0" collapsed="false">
      <c r="A26" s="6" t="s">
        <v>285</v>
      </c>
      <c r="B26" s="6" t="s">
        <v>34</v>
      </c>
      <c r="C26" s="6" t="s">
        <v>286</v>
      </c>
      <c r="D26" s="6" t="s">
        <v>19</v>
      </c>
      <c r="E26" s="6" t="s">
        <v>256</v>
      </c>
      <c r="F26" s="6" t="s">
        <v>287</v>
      </c>
      <c r="G26" s="6" t="s">
        <v>288</v>
      </c>
      <c r="H26" s="6" t="s">
        <v>289</v>
      </c>
    </row>
    <row r="27" customFormat="false" ht="35.05" hidden="false" customHeight="false" outlineLevel="0" collapsed="false">
      <c r="A27" s="6" t="s">
        <v>290</v>
      </c>
      <c r="B27" s="6" t="s">
        <v>21</v>
      </c>
      <c r="C27" s="6" t="s">
        <v>291</v>
      </c>
      <c r="D27" s="6" t="s">
        <v>71</v>
      </c>
      <c r="E27" s="6" t="s">
        <v>256</v>
      </c>
      <c r="F27" s="6" t="s">
        <v>292</v>
      </c>
      <c r="G27" s="6" t="s">
        <v>293</v>
      </c>
      <c r="H27" s="6" t="s">
        <v>294</v>
      </c>
    </row>
    <row r="28" customFormat="false" ht="35.05" hidden="false" customHeight="false" outlineLevel="0" collapsed="false">
      <c r="A28" s="6" t="s">
        <v>295</v>
      </c>
      <c r="B28" s="6" t="s">
        <v>53</v>
      </c>
      <c r="C28" s="6" t="s">
        <v>296</v>
      </c>
      <c r="D28" s="6" t="s">
        <v>71</v>
      </c>
      <c r="E28" s="6" t="s">
        <v>256</v>
      </c>
      <c r="F28" s="6" t="s">
        <v>297</v>
      </c>
      <c r="G28" s="6" t="s">
        <v>298</v>
      </c>
      <c r="H28" s="6" t="s">
        <v>299</v>
      </c>
    </row>
    <row r="29" customFormat="false" ht="35.05" hidden="false" customHeight="false" outlineLevel="0" collapsed="false">
      <c r="A29" s="6" t="s">
        <v>300</v>
      </c>
      <c r="B29" s="6" t="s">
        <v>53</v>
      </c>
      <c r="C29" s="6" t="s">
        <v>301</v>
      </c>
      <c r="D29" s="6" t="s">
        <v>71</v>
      </c>
      <c r="E29" s="6" t="s">
        <v>256</v>
      </c>
      <c r="F29" s="6" t="s">
        <v>302</v>
      </c>
      <c r="G29" s="6" t="s">
        <v>303</v>
      </c>
      <c r="H29" s="6" t="s">
        <v>304</v>
      </c>
    </row>
    <row r="30" customFormat="false" ht="35.05" hidden="false" customHeight="false" outlineLevel="0" collapsed="false">
      <c r="A30" s="6" t="s">
        <v>305</v>
      </c>
      <c r="B30" s="6" t="s">
        <v>53</v>
      </c>
      <c r="C30" s="6" t="s">
        <v>306</v>
      </c>
      <c r="D30" s="6" t="s">
        <v>71</v>
      </c>
      <c r="E30" s="6" t="s">
        <v>256</v>
      </c>
      <c r="F30" s="6" t="s">
        <v>307</v>
      </c>
      <c r="G30" s="6" t="s">
        <v>308</v>
      </c>
      <c r="H30" s="6" t="s">
        <v>309</v>
      </c>
    </row>
    <row r="31" customFormat="false" ht="35.05" hidden="false" customHeight="false" outlineLevel="0" collapsed="false">
      <c r="A31" s="6" t="s">
        <v>310</v>
      </c>
      <c r="B31" s="6" t="s">
        <v>53</v>
      </c>
      <c r="C31" s="6" t="s">
        <v>311</v>
      </c>
      <c r="D31" s="6" t="s">
        <v>71</v>
      </c>
      <c r="E31" s="6" t="s">
        <v>256</v>
      </c>
      <c r="F31" s="6" t="s">
        <v>312</v>
      </c>
      <c r="G31" s="6" t="s">
        <v>313</v>
      </c>
      <c r="H31" s="6" t="s">
        <v>314</v>
      </c>
    </row>
    <row r="32" customFormat="false" ht="35.05" hidden="false" customHeight="false" outlineLevel="0" collapsed="false">
      <c r="A32" s="6" t="s">
        <v>315</v>
      </c>
      <c r="B32" s="6" t="s">
        <v>53</v>
      </c>
      <c r="C32" s="6" t="s">
        <v>316</v>
      </c>
      <c r="D32" s="6" t="s">
        <v>71</v>
      </c>
      <c r="E32" s="6" t="s">
        <v>256</v>
      </c>
      <c r="F32" s="6" t="s">
        <v>317</v>
      </c>
      <c r="G32" s="6" t="s">
        <v>318</v>
      </c>
      <c r="H32" s="6" t="s">
        <v>319</v>
      </c>
    </row>
    <row r="33" customFormat="false" ht="35.05" hidden="false" customHeight="false" outlineLevel="0" collapsed="false">
      <c r="A33" s="6" t="s">
        <v>320</v>
      </c>
      <c r="B33" s="6" t="s">
        <v>53</v>
      </c>
      <c r="C33" s="6" t="s">
        <v>321</v>
      </c>
      <c r="D33" s="6" t="s">
        <v>71</v>
      </c>
      <c r="E33" s="6" t="s">
        <v>256</v>
      </c>
      <c r="F33" s="6" t="s">
        <v>322</v>
      </c>
      <c r="G33" s="6" t="s">
        <v>323</v>
      </c>
      <c r="H33" s="6" t="s">
        <v>324</v>
      </c>
    </row>
    <row r="34" customFormat="false" ht="35.05" hidden="false" customHeight="false" outlineLevel="0" collapsed="false">
      <c r="A34" s="6" t="s">
        <v>325</v>
      </c>
      <c r="B34" s="6" t="s">
        <v>21</v>
      </c>
      <c r="C34" s="6" t="s">
        <v>326</v>
      </c>
      <c r="D34" s="6" t="s">
        <v>71</v>
      </c>
      <c r="E34" s="6" t="s">
        <v>256</v>
      </c>
      <c r="F34" s="6" t="s">
        <v>327</v>
      </c>
      <c r="G34" s="6" t="s">
        <v>328</v>
      </c>
      <c r="H34" s="6" t="s">
        <v>329</v>
      </c>
    </row>
    <row r="35" customFormat="false" ht="35.05" hidden="false" customHeight="false" outlineLevel="0" collapsed="false">
      <c r="A35" s="6" t="s">
        <v>330</v>
      </c>
      <c r="B35" s="6" t="s">
        <v>53</v>
      </c>
      <c r="C35" s="6" t="s">
        <v>331</v>
      </c>
      <c r="D35" s="6" t="s">
        <v>71</v>
      </c>
      <c r="E35" s="6" t="s">
        <v>256</v>
      </c>
      <c r="F35" s="6" t="s">
        <v>332</v>
      </c>
      <c r="G35" s="6" t="s">
        <v>333</v>
      </c>
      <c r="H35" s="6" t="s">
        <v>334</v>
      </c>
    </row>
    <row r="36" customFormat="false" ht="35.05" hidden="false" customHeight="false" outlineLevel="0" collapsed="false">
      <c r="A36" s="6" t="s">
        <v>335</v>
      </c>
      <c r="B36" s="6" t="s">
        <v>21</v>
      </c>
      <c r="C36" s="6" t="s">
        <v>336</v>
      </c>
      <c r="D36" s="6" t="s">
        <v>71</v>
      </c>
      <c r="E36" s="6" t="s">
        <v>256</v>
      </c>
      <c r="F36" s="6" t="s">
        <v>337</v>
      </c>
      <c r="G36" s="6" t="s">
        <v>338</v>
      </c>
      <c r="H36" s="6" t="s">
        <v>339</v>
      </c>
    </row>
    <row r="37" customFormat="false" ht="35.05" hidden="false" customHeight="false" outlineLevel="0" collapsed="false">
      <c r="A37" s="6" t="s">
        <v>340</v>
      </c>
      <c r="B37" s="6" t="s">
        <v>53</v>
      </c>
      <c r="C37" s="6" t="s">
        <v>341</v>
      </c>
      <c r="D37" s="6" t="s">
        <v>71</v>
      </c>
      <c r="E37" s="6" t="s">
        <v>256</v>
      </c>
      <c r="F37" s="6" t="s">
        <v>342</v>
      </c>
      <c r="G37" s="6" t="s">
        <v>343</v>
      </c>
      <c r="H37" s="6" t="s">
        <v>344</v>
      </c>
    </row>
    <row r="38" customFormat="false" ht="35.05" hidden="false" customHeight="false" outlineLevel="0" collapsed="false">
      <c r="A38" s="6" t="s">
        <v>345</v>
      </c>
      <c r="B38" s="6" t="s">
        <v>53</v>
      </c>
      <c r="C38" s="6" t="s">
        <v>346</v>
      </c>
      <c r="D38" s="6" t="s">
        <v>71</v>
      </c>
      <c r="E38" s="6" t="s">
        <v>256</v>
      </c>
      <c r="F38" s="6" t="s">
        <v>347</v>
      </c>
      <c r="G38" s="6" t="s">
        <v>348</v>
      </c>
      <c r="H38" s="6" t="s">
        <v>349</v>
      </c>
    </row>
    <row r="39" customFormat="false" ht="35.05" hidden="false" customHeight="false" outlineLevel="0" collapsed="false">
      <c r="A39" s="6" t="s">
        <v>350</v>
      </c>
      <c r="B39" s="6" t="s">
        <v>53</v>
      </c>
      <c r="C39" s="6" t="s">
        <v>351</v>
      </c>
      <c r="D39" s="6" t="s">
        <v>71</v>
      </c>
      <c r="E39" s="6" t="s">
        <v>256</v>
      </c>
      <c r="F39" s="6" t="s">
        <v>352</v>
      </c>
      <c r="G39" s="6" t="s">
        <v>353</v>
      </c>
      <c r="H39" s="6" t="s">
        <v>354</v>
      </c>
    </row>
    <row r="40" customFormat="false" ht="35.05" hidden="false" customHeight="false" outlineLevel="0" collapsed="false">
      <c r="A40" s="6" t="s">
        <v>355</v>
      </c>
      <c r="B40" s="6" t="s">
        <v>53</v>
      </c>
      <c r="C40" s="6" t="s">
        <v>356</v>
      </c>
      <c r="D40" s="6" t="s">
        <v>110</v>
      </c>
      <c r="E40" s="6" t="s">
        <v>85</v>
      </c>
      <c r="F40" s="6" t="s">
        <v>322</v>
      </c>
      <c r="G40" s="6" t="s">
        <v>357</v>
      </c>
      <c r="H40" s="6" t="s">
        <v>358</v>
      </c>
    </row>
    <row r="41" customFormat="false" ht="35.05" hidden="false" customHeight="false" outlineLevel="0" collapsed="false">
      <c r="A41" s="6" t="s">
        <v>359</v>
      </c>
      <c r="B41" s="6" t="s">
        <v>53</v>
      </c>
      <c r="C41" s="6" t="s">
        <v>360</v>
      </c>
      <c r="D41" s="6" t="s">
        <v>71</v>
      </c>
      <c r="E41" s="6" t="s">
        <v>85</v>
      </c>
      <c r="F41" s="6" t="s">
        <v>361</v>
      </c>
      <c r="G41" s="6" t="s">
        <v>362</v>
      </c>
      <c r="H41" s="6" t="s">
        <v>363</v>
      </c>
    </row>
    <row r="42" customFormat="false" ht="35.05" hidden="false" customHeight="false" outlineLevel="0" collapsed="false">
      <c r="A42" s="6" t="s">
        <v>364</v>
      </c>
      <c r="B42" s="6" t="s">
        <v>53</v>
      </c>
      <c r="C42" s="6" t="s">
        <v>365</v>
      </c>
      <c r="D42" s="6" t="s">
        <v>110</v>
      </c>
      <c r="E42" s="6" t="s">
        <v>85</v>
      </c>
      <c r="F42" s="6" t="s">
        <v>366</v>
      </c>
      <c r="G42" s="6" t="s">
        <v>367</v>
      </c>
      <c r="H42" s="6" t="s">
        <v>368</v>
      </c>
    </row>
    <row r="43" customFormat="false" ht="35.05" hidden="false" customHeight="false" outlineLevel="0" collapsed="false">
      <c r="A43" s="6" t="s">
        <v>369</v>
      </c>
      <c r="B43" s="6" t="s">
        <v>53</v>
      </c>
      <c r="C43" s="6" t="s">
        <v>370</v>
      </c>
      <c r="D43" s="6" t="s">
        <v>110</v>
      </c>
      <c r="E43" s="6" t="s">
        <v>85</v>
      </c>
      <c r="F43" s="6" t="s">
        <v>371</v>
      </c>
      <c r="G43" s="6" t="s">
        <v>372</v>
      </c>
      <c r="H43" s="6" t="s">
        <v>373</v>
      </c>
    </row>
    <row r="44" customFormat="false" ht="35.05" hidden="false" customHeight="false" outlineLevel="0" collapsed="false">
      <c r="A44" s="6" t="s">
        <v>374</v>
      </c>
      <c r="B44" s="6" t="s">
        <v>53</v>
      </c>
      <c r="C44" s="6" t="s">
        <v>375</v>
      </c>
      <c r="D44" s="6" t="s">
        <v>110</v>
      </c>
      <c r="E44" s="6" t="s">
        <v>85</v>
      </c>
      <c r="F44" s="6" t="s">
        <v>376</v>
      </c>
      <c r="G44" s="6" t="s">
        <v>377</v>
      </c>
      <c r="H44" s="6" t="s">
        <v>378</v>
      </c>
    </row>
    <row r="45" customFormat="false" ht="35.05" hidden="false" customHeight="false" outlineLevel="0" collapsed="false">
      <c r="A45" s="6" t="s">
        <v>379</v>
      </c>
      <c r="B45" s="6" t="s">
        <v>53</v>
      </c>
      <c r="C45" s="6" t="s">
        <v>380</v>
      </c>
      <c r="D45" s="6" t="s">
        <v>110</v>
      </c>
      <c r="E45" s="6" t="s">
        <v>85</v>
      </c>
      <c r="F45" s="6" t="s">
        <v>381</v>
      </c>
      <c r="G45" s="6" t="s">
        <v>382</v>
      </c>
      <c r="H45" s="6" t="s">
        <v>383</v>
      </c>
    </row>
    <row r="46" customFormat="false" ht="35.05" hidden="false" customHeight="false" outlineLevel="0" collapsed="false">
      <c r="A46" s="6" t="s">
        <v>384</v>
      </c>
      <c r="B46" s="6" t="s">
        <v>53</v>
      </c>
      <c r="C46" s="6" t="s">
        <v>385</v>
      </c>
      <c r="D46" s="6" t="s">
        <v>110</v>
      </c>
      <c r="E46" s="6" t="s">
        <v>85</v>
      </c>
      <c r="F46" s="6" t="s">
        <v>386</v>
      </c>
      <c r="G46" s="6" t="s">
        <v>387</v>
      </c>
      <c r="H46" s="6" t="s">
        <v>388</v>
      </c>
    </row>
    <row r="47" customFormat="false" ht="35.05" hidden="false" customHeight="false" outlineLevel="0" collapsed="false">
      <c r="A47" s="6" t="s">
        <v>389</v>
      </c>
      <c r="B47" s="6" t="s">
        <v>53</v>
      </c>
      <c r="C47" s="6" t="s">
        <v>390</v>
      </c>
      <c r="D47" s="6" t="s">
        <v>71</v>
      </c>
      <c r="E47" s="6" t="s">
        <v>85</v>
      </c>
      <c r="F47" s="6" t="s">
        <v>312</v>
      </c>
      <c r="G47" s="6" t="s">
        <v>391</v>
      </c>
      <c r="H47" s="6" t="s">
        <v>392</v>
      </c>
    </row>
    <row r="48" customFormat="false" ht="35.05" hidden="false" customHeight="false" outlineLevel="0" collapsed="false">
      <c r="A48" s="6" t="s">
        <v>393</v>
      </c>
      <c r="B48" s="6" t="s">
        <v>21</v>
      </c>
      <c r="C48" s="6" t="s">
        <v>394</v>
      </c>
      <c r="D48" s="6" t="s">
        <v>71</v>
      </c>
      <c r="E48" s="6" t="s">
        <v>85</v>
      </c>
      <c r="F48" s="6" t="s">
        <v>395</v>
      </c>
      <c r="G48" s="6" t="s">
        <v>396</v>
      </c>
      <c r="H48" s="6" t="s">
        <v>397</v>
      </c>
    </row>
    <row r="49" customFormat="false" ht="35.05" hidden="false" customHeight="false" outlineLevel="0" collapsed="false">
      <c r="A49" s="6" t="s">
        <v>398</v>
      </c>
      <c r="B49" s="6" t="s">
        <v>53</v>
      </c>
      <c r="C49" s="6" t="s">
        <v>399</v>
      </c>
      <c r="D49" s="6" t="s">
        <v>110</v>
      </c>
      <c r="E49" s="6" t="s">
        <v>85</v>
      </c>
      <c r="F49" s="6" t="s">
        <v>400</v>
      </c>
      <c r="G49" s="6" t="s">
        <v>401</v>
      </c>
      <c r="H49" s="6" t="s">
        <v>402</v>
      </c>
    </row>
    <row r="50" customFormat="false" ht="35.05" hidden="false" customHeight="false" outlineLevel="0" collapsed="false">
      <c r="A50" s="6" t="s">
        <v>403</v>
      </c>
      <c r="B50" s="6" t="s">
        <v>21</v>
      </c>
      <c r="C50" s="6" t="s">
        <v>404</v>
      </c>
      <c r="D50" s="6" t="s">
        <v>71</v>
      </c>
      <c r="E50" s="6" t="s">
        <v>85</v>
      </c>
      <c r="F50" s="6" t="s">
        <v>405</v>
      </c>
      <c r="G50" s="6" t="s">
        <v>406</v>
      </c>
      <c r="H50" s="6" t="s">
        <v>407</v>
      </c>
    </row>
    <row r="51" customFormat="false" ht="35.05" hidden="false" customHeight="false" outlineLevel="0" collapsed="false">
      <c r="A51" s="6" t="s">
        <v>408</v>
      </c>
      <c r="B51" s="6" t="s">
        <v>53</v>
      </c>
      <c r="C51" s="6" t="s">
        <v>409</v>
      </c>
      <c r="D51" s="6" t="s">
        <v>110</v>
      </c>
      <c r="E51" s="6" t="s">
        <v>85</v>
      </c>
      <c r="F51" s="6" t="s">
        <v>332</v>
      </c>
      <c r="G51" s="6" t="s">
        <v>410</v>
      </c>
      <c r="H51" s="6" t="s">
        <v>411</v>
      </c>
    </row>
    <row r="52" customFormat="false" ht="35.05" hidden="false" customHeight="false" outlineLevel="0" collapsed="false">
      <c r="A52" s="6" t="s">
        <v>412</v>
      </c>
      <c r="B52" s="6" t="s">
        <v>53</v>
      </c>
      <c r="C52" s="6" t="s">
        <v>413</v>
      </c>
      <c r="D52" s="6" t="s">
        <v>71</v>
      </c>
      <c r="E52" s="6" t="s">
        <v>73</v>
      </c>
      <c r="F52" s="6" t="s">
        <v>414</v>
      </c>
      <c r="G52" s="6" t="s">
        <v>415</v>
      </c>
      <c r="H52" s="6" t="s">
        <v>416</v>
      </c>
    </row>
    <row r="53" customFormat="false" ht="35.05" hidden="false" customHeight="false" outlineLevel="0" collapsed="false">
      <c r="A53" s="6" t="s">
        <v>417</v>
      </c>
      <c r="B53" s="6" t="s">
        <v>53</v>
      </c>
      <c r="C53" s="6" t="s">
        <v>418</v>
      </c>
      <c r="D53" s="6" t="s">
        <v>110</v>
      </c>
      <c r="E53" s="6" t="s">
        <v>73</v>
      </c>
      <c r="F53" s="6" t="s">
        <v>419</v>
      </c>
      <c r="G53" s="6" t="s">
        <v>420</v>
      </c>
      <c r="H53" s="6" t="s">
        <v>421</v>
      </c>
    </row>
    <row r="54" customFormat="false" ht="35.05" hidden="false" customHeight="false" outlineLevel="0" collapsed="false">
      <c r="A54" s="6" t="s">
        <v>422</v>
      </c>
      <c r="B54" s="6" t="s">
        <v>21</v>
      </c>
      <c r="C54" s="6" t="s">
        <v>423</v>
      </c>
      <c r="D54" s="6" t="s">
        <v>110</v>
      </c>
      <c r="E54" s="6" t="s">
        <v>73</v>
      </c>
      <c r="F54" s="6" t="s">
        <v>424</v>
      </c>
      <c r="G54" s="6" t="s">
        <v>425</v>
      </c>
      <c r="H54" s="6" t="s">
        <v>426</v>
      </c>
    </row>
    <row r="55" customFormat="false" ht="35.05" hidden="false" customHeight="false" outlineLevel="0" collapsed="false">
      <c r="A55" s="6" t="s">
        <v>427</v>
      </c>
      <c r="B55" s="6" t="s">
        <v>21</v>
      </c>
      <c r="C55" s="6" t="s">
        <v>428</v>
      </c>
      <c r="D55" s="6" t="s">
        <v>152</v>
      </c>
      <c r="E55" s="6" t="s">
        <v>73</v>
      </c>
      <c r="F55" s="6" t="s">
        <v>429</v>
      </c>
      <c r="G55" s="6" t="s">
        <v>430</v>
      </c>
      <c r="H55" s="6" t="s">
        <v>431</v>
      </c>
    </row>
    <row r="56" customFormat="false" ht="35.05" hidden="false" customHeight="false" outlineLevel="0" collapsed="false">
      <c r="A56" s="6" t="s">
        <v>432</v>
      </c>
      <c r="B56" s="6" t="s">
        <v>21</v>
      </c>
      <c r="C56" s="6" t="s">
        <v>433</v>
      </c>
      <c r="D56" s="6" t="s">
        <v>152</v>
      </c>
      <c r="E56" s="6" t="s">
        <v>73</v>
      </c>
      <c r="F56" s="6" t="s">
        <v>434</v>
      </c>
      <c r="G56" s="6" t="s">
        <v>435</v>
      </c>
      <c r="H56" s="6" t="s">
        <v>436</v>
      </c>
    </row>
    <row r="57" customFormat="false" ht="35.05" hidden="false" customHeight="false" outlineLevel="0" collapsed="false">
      <c r="A57" s="6" t="s">
        <v>437</v>
      </c>
      <c r="B57" s="6" t="s">
        <v>53</v>
      </c>
      <c r="C57" s="6" t="s">
        <v>438</v>
      </c>
      <c r="D57" s="6" t="s">
        <v>152</v>
      </c>
      <c r="E57" s="6" t="s">
        <v>73</v>
      </c>
      <c r="F57" s="6" t="s">
        <v>439</v>
      </c>
      <c r="G57" s="6" t="s">
        <v>440</v>
      </c>
      <c r="H57" s="6" t="s">
        <v>441</v>
      </c>
    </row>
    <row r="58" customFormat="false" ht="35.05" hidden="false" customHeight="false" outlineLevel="0" collapsed="false">
      <c r="A58" s="6" t="s">
        <v>442</v>
      </c>
      <c r="B58" s="6" t="s">
        <v>21</v>
      </c>
      <c r="C58" s="6" t="s">
        <v>443</v>
      </c>
      <c r="D58" s="6" t="s">
        <v>71</v>
      </c>
      <c r="E58" s="6" t="s">
        <v>73</v>
      </c>
      <c r="F58" s="6" t="s">
        <v>444</v>
      </c>
      <c r="G58" s="6" t="s">
        <v>445</v>
      </c>
      <c r="H58" s="6" t="s">
        <v>446</v>
      </c>
    </row>
    <row r="59" customFormat="false" ht="35.05" hidden="false" customHeight="false" outlineLevel="0" collapsed="false">
      <c r="A59" s="6" t="s">
        <v>447</v>
      </c>
      <c r="B59" s="6" t="s">
        <v>53</v>
      </c>
      <c r="C59" s="6" t="s">
        <v>448</v>
      </c>
      <c r="D59" s="6" t="s">
        <v>71</v>
      </c>
      <c r="E59" s="6" t="s">
        <v>73</v>
      </c>
      <c r="F59" s="6" t="s">
        <v>414</v>
      </c>
      <c r="G59" s="6" t="s">
        <v>449</v>
      </c>
      <c r="H59" s="6" t="s">
        <v>450</v>
      </c>
    </row>
    <row r="60" customFormat="false" ht="35.05" hidden="false" customHeight="false" outlineLevel="0" collapsed="false">
      <c r="A60" s="6" t="s">
        <v>451</v>
      </c>
      <c r="B60" s="6" t="s">
        <v>21</v>
      </c>
      <c r="C60" s="6" t="s">
        <v>452</v>
      </c>
      <c r="D60" s="6" t="s">
        <v>110</v>
      </c>
      <c r="E60" s="6" t="s">
        <v>73</v>
      </c>
      <c r="F60" s="6" t="s">
        <v>453</v>
      </c>
      <c r="G60" s="6" t="s">
        <v>454</v>
      </c>
      <c r="H60" s="6" t="s">
        <v>455</v>
      </c>
    </row>
    <row r="61" customFormat="false" ht="35.05" hidden="false" customHeight="false" outlineLevel="0" collapsed="false">
      <c r="A61" s="6" t="s">
        <v>456</v>
      </c>
      <c r="B61" s="6" t="s">
        <v>21</v>
      </c>
      <c r="C61" s="6" t="s">
        <v>457</v>
      </c>
      <c r="D61" s="6" t="s">
        <v>110</v>
      </c>
      <c r="E61" s="6" t="s">
        <v>73</v>
      </c>
      <c r="F61" s="6" t="s">
        <v>200</v>
      </c>
      <c r="G61" s="6" t="s">
        <v>458</v>
      </c>
      <c r="H61" s="6" t="s">
        <v>459</v>
      </c>
    </row>
    <row r="62" customFormat="false" ht="35.05" hidden="false" customHeight="false" outlineLevel="0" collapsed="false">
      <c r="A62" s="6" t="s">
        <v>460</v>
      </c>
      <c r="B62" s="6" t="s">
        <v>21</v>
      </c>
      <c r="C62" s="6" t="s">
        <v>461</v>
      </c>
      <c r="D62" s="6" t="s">
        <v>71</v>
      </c>
      <c r="E62" s="6" t="s">
        <v>462</v>
      </c>
      <c r="F62" s="6" t="s">
        <v>463</v>
      </c>
      <c r="G62" s="6" t="s">
        <v>464</v>
      </c>
      <c r="H62" s="6" t="s">
        <v>465</v>
      </c>
    </row>
    <row r="63" customFormat="false" ht="35.05" hidden="false" customHeight="false" outlineLevel="0" collapsed="false">
      <c r="A63" s="6" t="s">
        <v>466</v>
      </c>
      <c r="B63" s="6" t="s">
        <v>53</v>
      </c>
      <c r="C63" s="6" t="s">
        <v>467</v>
      </c>
      <c r="D63" s="6" t="s">
        <v>110</v>
      </c>
      <c r="E63" s="6" t="s">
        <v>462</v>
      </c>
      <c r="F63" s="6" t="s">
        <v>468</v>
      </c>
      <c r="G63" s="6" t="s">
        <v>469</v>
      </c>
      <c r="H63" s="6" t="s">
        <v>470</v>
      </c>
    </row>
    <row r="64" customFormat="false" ht="35.05" hidden="false" customHeight="false" outlineLevel="0" collapsed="false">
      <c r="A64" s="6" t="s">
        <v>471</v>
      </c>
      <c r="B64" s="6" t="s">
        <v>42</v>
      </c>
      <c r="C64" s="6" t="s">
        <v>472</v>
      </c>
      <c r="D64" s="6" t="s">
        <v>71</v>
      </c>
      <c r="E64" s="6" t="s">
        <v>462</v>
      </c>
      <c r="F64" s="6" t="s">
        <v>473</v>
      </c>
      <c r="G64" s="6" t="s">
        <v>474</v>
      </c>
      <c r="H64" s="6" t="s">
        <v>475</v>
      </c>
    </row>
    <row r="65" customFormat="false" ht="35.05" hidden="false" customHeight="false" outlineLevel="0" collapsed="false">
      <c r="A65" s="6" t="s">
        <v>476</v>
      </c>
      <c r="B65" s="6" t="s">
        <v>53</v>
      </c>
      <c r="C65" s="6" t="s">
        <v>477</v>
      </c>
      <c r="D65" s="6" t="s">
        <v>71</v>
      </c>
      <c r="E65" s="6" t="s">
        <v>462</v>
      </c>
      <c r="F65" s="6" t="s">
        <v>414</v>
      </c>
      <c r="G65" s="6" t="s">
        <v>478</v>
      </c>
      <c r="H65" s="6" t="s">
        <v>479</v>
      </c>
    </row>
    <row r="66" customFormat="false" ht="35.05" hidden="false" customHeight="false" outlineLevel="0" collapsed="false">
      <c r="A66" s="6" t="s">
        <v>480</v>
      </c>
      <c r="B66" s="6" t="s">
        <v>21</v>
      </c>
      <c r="C66" s="6" t="s">
        <v>481</v>
      </c>
      <c r="D66" s="6" t="s">
        <v>71</v>
      </c>
      <c r="E66" s="6" t="s">
        <v>462</v>
      </c>
      <c r="F66" s="6" t="s">
        <v>482</v>
      </c>
      <c r="G66" s="6" t="s">
        <v>483</v>
      </c>
      <c r="H66" s="6" t="s">
        <v>484</v>
      </c>
    </row>
  </sheetData>
  <autoFilter ref="A1:H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4" min="4" style="0" width="20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7" t="s">
        <v>485</v>
      </c>
      <c r="B1" s="7"/>
      <c r="C1" s="7"/>
      <c r="D1" s="7"/>
    </row>
    <row r="3" customFormat="false" ht="15" hidden="false" customHeight="false" outlineLevel="0" collapsed="false">
      <c r="A3" s="8" t="s">
        <v>486</v>
      </c>
    </row>
    <row r="4" customFormat="false" ht="15" hidden="false" customHeight="false" outlineLevel="0" collapsed="false">
      <c r="A4" s="9" t="s">
        <v>13</v>
      </c>
      <c r="B4" s="9" t="s">
        <v>65</v>
      </c>
      <c r="C4" s="9" t="s">
        <v>105</v>
      </c>
      <c r="D4" s="9" t="s">
        <v>147</v>
      </c>
      <c r="E4" s="9" t="s">
        <v>487</v>
      </c>
    </row>
    <row r="5" customFormat="false" ht="15" hidden="false" customHeight="false" outlineLevel="0" collapsed="false">
      <c r="A5" s="9" t="n">
        <f aca="false">COUNTIF('All Findings'!C:C,"Critical")</f>
        <v>8</v>
      </c>
      <c r="B5" s="9" t="n">
        <f aca="false">COUNTIF('All Findings'!C:C,"High")</f>
        <v>7</v>
      </c>
      <c r="C5" s="9" t="n">
        <f aca="false">COUNTIF('All Findings'!C:C,"Medium")</f>
        <v>8</v>
      </c>
      <c r="D5" s="9" t="n">
        <f aca="false">COUNTIF('All Findings'!C:C,"Low")</f>
        <v>3</v>
      </c>
      <c r="E5" s="9" t="n">
        <f aca="false">SUM(A5:D5)</f>
        <v>26</v>
      </c>
    </row>
    <row r="8" customFormat="false" ht="15" hidden="false" customHeight="false" outlineLevel="0" collapsed="false">
      <c r="A8" s="8" t="s">
        <v>488</v>
      </c>
    </row>
    <row r="9" customFormat="false" ht="15" hidden="false" customHeight="false" outlineLevel="0" collapsed="false">
      <c r="A9" s="9" t="s">
        <v>25</v>
      </c>
      <c r="B9" s="9" t="s">
        <v>68</v>
      </c>
      <c r="C9" s="9" t="s">
        <v>57</v>
      </c>
      <c r="D9" s="9" t="s">
        <v>138</v>
      </c>
      <c r="E9" s="9" t="s">
        <v>489</v>
      </c>
    </row>
    <row r="10" customFormat="false" ht="15" hidden="false" customHeight="false" outlineLevel="0" collapsed="false">
      <c r="A10" s="9" t="n">
        <f aca="false">COUNTIF('All Findings'!F:F,"NOT FIXED*")</f>
        <v>18</v>
      </c>
      <c r="B10" s="9" t="n">
        <f aca="false">COUNTIF('All Findings'!F:F,"PARTIAL")</f>
        <v>2</v>
      </c>
      <c r="C10" s="9" t="n">
        <f aca="false">COUNTIF('All Findings'!F:F,"NEW")</f>
        <v>3</v>
      </c>
      <c r="D10" s="9" t="n">
        <f aca="false">COUNTIF('All Findings'!F:F,"NOT VERIFIED")</f>
        <v>3</v>
      </c>
      <c r="E10" s="9" t="n">
        <f aca="false">COUNTIF('All Findings'!F:F,"FIXED")</f>
        <v>0</v>
      </c>
    </row>
    <row r="13" customFormat="false" ht="15" hidden="false" customHeight="false" outlineLevel="0" collapsed="false">
      <c r="A13" s="8" t="s">
        <v>490</v>
      </c>
      <c r="D13" s="8" t="s">
        <v>491</v>
      </c>
    </row>
    <row r="14" customFormat="false" ht="15" hidden="false" customHeight="false" outlineLevel="0" collapsed="false">
      <c r="A14" s="10" t="s">
        <v>10</v>
      </c>
      <c r="B14" s="10" t="s">
        <v>492</v>
      </c>
      <c r="D14" s="10" t="s">
        <v>1</v>
      </c>
      <c r="E14" s="10" t="s">
        <v>492</v>
      </c>
    </row>
    <row r="15" customFormat="false" ht="15" hidden="false" customHeight="false" outlineLevel="0" collapsed="false">
      <c r="A15" s="11" t="s">
        <v>21</v>
      </c>
      <c r="B15" s="11" t="n">
        <f aca="false">COUNTIF('All Findings'!K:K,"Consumer")</f>
        <v>8</v>
      </c>
      <c r="D15" s="11" t="s">
        <v>12</v>
      </c>
      <c r="E15" s="11" t="n">
        <f aca="false">COUNTIF('All Findings'!B:B,"Performance")</f>
        <v>3</v>
      </c>
    </row>
    <row r="16" customFormat="false" ht="15" hidden="false" customHeight="false" outlineLevel="0" collapsed="false">
      <c r="A16" s="11" t="s">
        <v>53</v>
      </c>
      <c r="B16" s="11" t="n">
        <f aca="false">COUNTIF('All Findings'!K:K,"Admin")</f>
        <v>13</v>
      </c>
      <c r="D16" s="11" t="s">
        <v>36</v>
      </c>
      <c r="E16" s="11" t="n">
        <f aca="false">COUNTIF('All Findings'!B:B,"Security")</f>
        <v>4</v>
      </c>
    </row>
    <row r="17" customFormat="false" ht="15" hidden="false" customHeight="false" outlineLevel="0" collapsed="false">
      <c r="A17" s="11" t="s">
        <v>34</v>
      </c>
      <c r="B17" s="11" t="n">
        <f aca="false">COUNTIF('All Findings'!K:K,"POS")</f>
        <v>1</v>
      </c>
      <c r="D17" s="11" t="s">
        <v>29</v>
      </c>
      <c r="E17" s="11" t="n">
        <f aca="false">COUNTIF('All Findings'!B:B,"Functionality")</f>
        <v>6</v>
      </c>
    </row>
    <row r="18" customFormat="false" ht="15" hidden="false" customHeight="false" outlineLevel="0" collapsed="false">
      <c r="A18" s="11" t="s">
        <v>42</v>
      </c>
      <c r="B18" s="11" t="n">
        <f aca="false">COUNTIF('All Findings'!K:K,"Platform")</f>
        <v>4</v>
      </c>
      <c r="D18" s="11" t="s">
        <v>85</v>
      </c>
      <c r="E18" s="11" t="n">
        <f aca="false">COUNTIF('All Findings'!B:B,"Data Integrity")</f>
        <v>7</v>
      </c>
    </row>
    <row r="19" customFormat="false" ht="15" hidden="false" customHeight="false" outlineLevel="0" collapsed="false">
      <c r="D19" s="11" t="s">
        <v>73</v>
      </c>
      <c r="E19" s="11" t="n">
        <f aca="false">COUNTIF('All Findings'!B:B,"UX")</f>
        <v>6</v>
      </c>
    </row>
    <row r="21" customFormat="false" ht="15" hidden="false" customHeight="false" outlineLevel="0" collapsed="false">
      <c r="A21" s="8" t="s">
        <v>493</v>
      </c>
    </row>
    <row r="22" customFormat="false" ht="15" hidden="false" customHeight="false" outlineLevel="0" collapsed="false">
      <c r="A22" s="10" t="s">
        <v>1</v>
      </c>
      <c r="B22" s="10" t="s">
        <v>494</v>
      </c>
    </row>
    <row r="23" customFormat="false" ht="15" hidden="false" customHeight="false" outlineLevel="0" collapsed="false">
      <c r="A23" s="11" t="s">
        <v>12</v>
      </c>
      <c r="B23" s="12" t="n">
        <f aca="false">1/10</f>
        <v>0.1</v>
      </c>
    </row>
    <row r="24" customFormat="false" ht="15" hidden="false" customHeight="false" outlineLevel="0" collapsed="false">
      <c r="A24" s="11" t="s">
        <v>36</v>
      </c>
      <c r="B24" s="12" t="n">
        <f aca="false">2/10</f>
        <v>0.2</v>
      </c>
    </row>
    <row r="25" customFormat="false" ht="15" hidden="false" customHeight="false" outlineLevel="0" collapsed="false">
      <c r="A25" s="11" t="s">
        <v>29</v>
      </c>
      <c r="B25" s="12" t="n">
        <f aca="false">5/10</f>
        <v>0.5</v>
      </c>
    </row>
    <row r="26" customFormat="false" ht="15" hidden="false" customHeight="false" outlineLevel="0" collapsed="false">
      <c r="A26" s="11" t="s">
        <v>73</v>
      </c>
      <c r="B26" s="12" t="n">
        <f aca="false">5/10</f>
        <v>0.5</v>
      </c>
    </row>
    <row r="27" customFormat="false" ht="15" hidden="false" customHeight="false" outlineLevel="0" collapsed="false">
      <c r="A27" s="11" t="s">
        <v>85</v>
      </c>
      <c r="B27" s="12" t="n">
        <f aca="false">3/10</f>
        <v>0.3</v>
      </c>
    </row>
    <row r="28" customFormat="false" ht="15" hidden="false" customHeight="false" outlineLevel="0" collapsed="false">
      <c r="A28" s="10" t="s">
        <v>495</v>
      </c>
      <c r="B28" s="13" t="n">
        <f aca="false">AVERAGE(B23:B27)</f>
        <v>0.32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15"/>
    <col collapsed="false" customWidth="true" hidden="false" outlineLevel="0" max="7" min="7" style="0" width="50"/>
    <col collapsed="false" customWidth="true" hidden="false" outlineLevel="0" max="8" min="8" style="0" width="60"/>
    <col collapsed="false" customWidth="true" hidden="false" outlineLevel="0" max="9" min="9" style="0" width="8"/>
    <col collapsed="false" customWidth="true" hidden="false" outlineLevel="0" max="11" min="10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35</v>
      </c>
      <c r="B2" s="2" t="s">
        <v>36</v>
      </c>
      <c r="C2" s="2" t="s">
        <v>13</v>
      </c>
      <c r="D2" s="2" t="s">
        <v>37</v>
      </c>
      <c r="E2" s="2" t="s">
        <v>38</v>
      </c>
      <c r="F2" s="2" t="s">
        <v>25</v>
      </c>
      <c r="G2" s="2" t="s">
        <v>39</v>
      </c>
      <c r="H2" s="2" t="s">
        <v>40</v>
      </c>
      <c r="I2" s="2" t="s">
        <v>19</v>
      </c>
      <c r="J2" s="2" t="s">
        <v>41</v>
      </c>
      <c r="K2" s="2" t="s">
        <v>42</v>
      </c>
    </row>
    <row r="3" customFormat="false" ht="23.85" hidden="false" customHeight="false" outlineLevel="0" collapsed="false">
      <c r="A3" s="2" t="s">
        <v>43</v>
      </c>
      <c r="B3" s="2" t="s">
        <v>36</v>
      </c>
      <c r="C3" s="2" t="s">
        <v>13</v>
      </c>
      <c r="D3" s="2" t="s">
        <v>44</v>
      </c>
      <c r="E3" s="2" t="s">
        <v>45</v>
      </c>
      <c r="F3" s="2" t="s">
        <v>25</v>
      </c>
      <c r="G3" s="2" t="s">
        <v>46</v>
      </c>
      <c r="H3" s="2" t="s">
        <v>47</v>
      </c>
      <c r="I3" s="2" t="s">
        <v>19</v>
      </c>
      <c r="J3" s="2" t="s">
        <v>41</v>
      </c>
      <c r="K3" s="2" t="s">
        <v>42</v>
      </c>
    </row>
    <row r="4" customFormat="false" ht="35.05" hidden="false" customHeight="false" outlineLevel="0" collapsed="false">
      <c r="A4" s="3" t="s">
        <v>64</v>
      </c>
      <c r="B4" s="3" t="s">
        <v>29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41</v>
      </c>
      <c r="K4" s="3" t="s">
        <v>21</v>
      </c>
    </row>
    <row r="5" customFormat="false" ht="35.05" hidden="false" customHeight="false" outlineLevel="0" collapsed="false">
      <c r="A5" s="3" t="s">
        <v>72</v>
      </c>
      <c r="B5" s="3" t="s">
        <v>73</v>
      </c>
      <c r="C5" s="3" t="s">
        <v>65</v>
      </c>
      <c r="D5" s="3" t="s">
        <v>74</v>
      </c>
      <c r="E5" s="3" t="s">
        <v>75</v>
      </c>
      <c r="F5" s="3" t="s">
        <v>25</v>
      </c>
      <c r="G5" s="3" t="s">
        <v>76</v>
      </c>
      <c r="H5" s="3" t="s">
        <v>77</v>
      </c>
      <c r="I5" s="3" t="s">
        <v>71</v>
      </c>
      <c r="J5" s="3" t="s">
        <v>41</v>
      </c>
      <c r="K5" s="3" t="s">
        <v>53</v>
      </c>
    </row>
    <row r="6" customFormat="false" ht="23.85" hidden="false" customHeight="false" outlineLevel="0" collapsed="false">
      <c r="A6" s="3" t="s">
        <v>100</v>
      </c>
      <c r="B6" s="3" t="s">
        <v>29</v>
      </c>
      <c r="C6" s="3" t="s">
        <v>65</v>
      </c>
      <c r="D6" s="3" t="s">
        <v>101</v>
      </c>
      <c r="E6" s="3" t="s">
        <v>56</v>
      </c>
      <c r="F6" s="3" t="s">
        <v>57</v>
      </c>
      <c r="G6" s="3" t="s">
        <v>102</v>
      </c>
      <c r="H6" s="3" t="s">
        <v>103</v>
      </c>
      <c r="I6" s="3" t="s">
        <v>71</v>
      </c>
      <c r="J6" s="3" t="s">
        <v>41</v>
      </c>
      <c r="K6" s="3" t="s">
        <v>53</v>
      </c>
    </row>
    <row r="7" customFormat="false" ht="23.85" hidden="false" customHeight="false" outlineLevel="0" collapsed="false">
      <c r="A7" s="4" t="s">
        <v>104</v>
      </c>
      <c r="B7" s="4" t="s">
        <v>85</v>
      </c>
      <c r="C7" s="4" t="s">
        <v>105</v>
      </c>
      <c r="D7" s="4" t="s">
        <v>106</v>
      </c>
      <c r="E7" s="4" t="s">
        <v>107</v>
      </c>
      <c r="F7" s="4" t="s">
        <v>25</v>
      </c>
      <c r="G7" s="4" t="s">
        <v>108</v>
      </c>
      <c r="H7" s="4" t="s">
        <v>109</v>
      </c>
      <c r="I7" s="4" t="s">
        <v>110</v>
      </c>
      <c r="J7" s="4" t="s">
        <v>41</v>
      </c>
      <c r="K7" s="4" t="s">
        <v>53</v>
      </c>
    </row>
    <row r="8" customFormat="false" ht="23.85" hidden="false" customHeight="false" outlineLevel="0" collapsed="false">
      <c r="A8" s="4" t="s">
        <v>111</v>
      </c>
      <c r="B8" s="4" t="s">
        <v>73</v>
      </c>
      <c r="C8" s="4" t="s">
        <v>105</v>
      </c>
      <c r="D8" s="4" t="s">
        <v>112</v>
      </c>
      <c r="E8" s="4" t="s">
        <v>113</v>
      </c>
      <c r="F8" s="4" t="s">
        <v>25</v>
      </c>
      <c r="G8" s="4" t="s">
        <v>114</v>
      </c>
      <c r="H8" s="4" t="s">
        <v>115</v>
      </c>
      <c r="I8" s="4" t="s">
        <v>110</v>
      </c>
      <c r="J8" s="4" t="s">
        <v>41</v>
      </c>
      <c r="K8" s="4" t="s">
        <v>53</v>
      </c>
    </row>
    <row r="9" customFormat="false" ht="23.85" hidden="false" customHeight="false" outlineLevel="0" collapsed="false">
      <c r="A9" s="4" t="s">
        <v>116</v>
      </c>
      <c r="B9" s="4" t="s">
        <v>85</v>
      </c>
      <c r="C9" s="4" t="s">
        <v>105</v>
      </c>
      <c r="D9" s="4" t="s">
        <v>117</v>
      </c>
      <c r="E9" s="4" t="s">
        <v>113</v>
      </c>
      <c r="F9" s="4" t="s">
        <v>25</v>
      </c>
      <c r="G9" s="4" t="s">
        <v>118</v>
      </c>
      <c r="H9" s="4" t="s">
        <v>119</v>
      </c>
      <c r="I9" s="4" t="s">
        <v>110</v>
      </c>
      <c r="J9" s="4" t="s">
        <v>41</v>
      </c>
      <c r="K9" s="4" t="s">
        <v>53</v>
      </c>
    </row>
    <row r="10" customFormat="false" ht="23.85" hidden="false" customHeight="false" outlineLevel="0" collapsed="false">
      <c r="A10" s="4" t="s">
        <v>120</v>
      </c>
      <c r="B10" s="4" t="s">
        <v>85</v>
      </c>
      <c r="C10" s="4" t="s">
        <v>105</v>
      </c>
      <c r="D10" s="4" t="s">
        <v>121</v>
      </c>
      <c r="E10" s="4" t="s">
        <v>122</v>
      </c>
      <c r="F10" s="4" t="s">
        <v>25</v>
      </c>
      <c r="G10" s="4" t="s">
        <v>123</v>
      </c>
      <c r="H10" s="4" t="s">
        <v>124</v>
      </c>
      <c r="I10" s="4" t="s">
        <v>110</v>
      </c>
      <c r="J10" s="4" t="s">
        <v>41</v>
      </c>
      <c r="K10" s="4" t="s">
        <v>53</v>
      </c>
    </row>
    <row r="11" customFormat="false" ht="23.85" hidden="false" customHeight="false" outlineLevel="0" collapsed="false">
      <c r="A11" s="4" t="s">
        <v>135</v>
      </c>
      <c r="B11" s="4" t="s">
        <v>73</v>
      </c>
      <c r="C11" s="4" t="s">
        <v>105</v>
      </c>
      <c r="D11" s="4" t="s">
        <v>136</v>
      </c>
      <c r="E11" s="4" t="s">
        <v>137</v>
      </c>
      <c r="F11" s="4" t="s">
        <v>138</v>
      </c>
      <c r="G11" s="4" t="s">
        <v>139</v>
      </c>
      <c r="H11" s="4" t="s">
        <v>140</v>
      </c>
      <c r="I11" s="4" t="s">
        <v>110</v>
      </c>
      <c r="J11" s="4" t="s">
        <v>41</v>
      </c>
      <c r="K11" s="4" t="s">
        <v>21</v>
      </c>
    </row>
    <row r="12" customFormat="false" ht="23.85" hidden="false" customHeight="false" outlineLevel="0" collapsed="false">
      <c r="A12" s="5" t="s">
        <v>153</v>
      </c>
      <c r="B12" s="5" t="s">
        <v>73</v>
      </c>
      <c r="C12" s="5" t="s">
        <v>147</v>
      </c>
      <c r="D12" s="5" t="s">
        <v>154</v>
      </c>
      <c r="E12" s="5" t="s">
        <v>155</v>
      </c>
      <c r="F12" s="5" t="s">
        <v>25</v>
      </c>
      <c r="G12" s="5" t="s">
        <v>156</v>
      </c>
      <c r="H12" s="5" t="s">
        <v>157</v>
      </c>
      <c r="I12" s="5" t="s">
        <v>152</v>
      </c>
      <c r="J12" s="5" t="s">
        <v>41</v>
      </c>
      <c r="K12" s="5" t="s">
        <v>42</v>
      </c>
    </row>
    <row r="13" customFormat="false" ht="23.85" hidden="false" customHeight="false" outlineLevel="0" collapsed="false">
      <c r="A13" s="5" t="s">
        <v>158</v>
      </c>
      <c r="B13" s="5" t="s">
        <v>73</v>
      </c>
      <c r="C13" s="5" t="s">
        <v>147</v>
      </c>
      <c r="D13" s="5" t="s">
        <v>159</v>
      </c>
      <c r="E13" s="5" t="s">
        <v>160</v>
      </c>
      <c r="F13" s="5" t="s">
        <v>138</v>
      </c>
      <c r="G13" s="5" t="s">
        <v>161</v>
      </c>
      <c r="H13" s="5" t="s">
        <v>162</v>
      </c>
      <c r="I13" s="5" t="s">
        <v>152</v>
      </c>
      <c r="J13" s="5" t="s">
        <v>41</v>
      </c>
      <c r="K13" s="5" t="s">
        <v>53</v>
      </c>
    </row>
  </sheetData>
  <autoFilter ref="A1:K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2026-04-04T01:38:41Z</dcterms:created>
  <dc:creator>openpyxl</dc:creator>
  <dc:description/>
  <dc:language>en-US</dc:language>
  <cp:lastModifiedBy/>
  <dcterms:modified xsi:type="dcterms:W3CDTF">2026-04-04T01:38:41Z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