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urity Findings" sheetId="1" state="visible" r:id="rId3"/>
    <sheet name="OWASP Top 10 Checklist" sheetId="2" state="visible" r:id="rId4"/>
    <sheet name="Remediation Roadmap" sheetId="3" state="visible" r:id="rId5"/>
    <sheet name="Summary" sheetId="4" state="visible" r:id="rId6"/>
  </sheets>
  <definedNames>
    <definedName function="false" hidden="true" localSheetId="1" name="_xlnm._FilterDatabase" vbProcedure="false">'OWASP Top 10 Checklist'!$A$1:$D$1</definedName>
    <definedName function="false" hidden="true" localSheetId="2" name="_xlnm._FilterDatabase" vbProcedure="false">'Remediation Roadmap'!$A$1:$F$1</definedName>
    <definedName function="false" hidden="true" localSheetId="0" name="_xlnm._FilterDatabase" vbProcedure="false">'Security Findings'!$A$1:$F$1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<sst xmlns="http://schemas.openxmlformats.org/spreadsheetml/2006/main" count="149" uniqueCount="93">
  <si>
    <t xml:space="preserve">ID</t>
  </si>
  <si>
    <t xml:space="preserve">Finding</t>
  </si>
  <si>
    <t xml:space="preserve">Description</t>
  </si>
  <si>
    <t xml:space="preserve">Severity</t>
  </si>
  <si>
    <t xml:space="preserve">OWASP Category</t>
  </si>
  <si>
    <t xml:space="preserve">Status</t>
  </si>
  <si>
    <t xml:space="preserve">SEC-001</t>
  </si>
  <si>
    <t xml:space="preserve">Admin No Auth</t>
  </si>
  <si>
    <t xml:space="preserve">/admin accessible without login</t>
  </si>
  <si>
    <t xml:space="preserve">Critical</t>
  </si>
  <si>
    <t xml:space="preserve">OWASP A01</t>
  </si>
  <si>
    <t xml:space="preserve">NEW</t>
  </si>
  <si>
    <t xml:space="preserve">SEC-002</t>
  </si>
  <si>
    <t xml:space="preserve">Credentials in URL</t>
  </si>
  <si>
    <t xml:space="preserve">Password in query string /login?password=X</t>
  </si>
  <si>
    <t xml:space="preserve">OWASP A04</t>
  </si>
  <si>
    <t xml:space="preserve">SEC-003</t>
  </si>
  <si>
    <t xml:space="preserve">Credential Block Crash</t>
  </si>
  <si>
    <t xml:space="preserve">0000/admin causes 500 instead of clean reject</t>
  </si>
  <si>
    <t xml:space="preserve">OWASP A07</t>
  </si>
  <si>
    <t xml:space="preserve">Partial</t>
  </si>
  <si>
    <t xml:space="preserve">SEC-004</t>
  </si>
  <si>
    <t xml:space="preserve">Server Error Info Leak</t>
  </si>
  <si>
    <t xml:space="preserve">500 errors may leak server details</t>
  </si>
  <si>
    <t xml:space="preserve">High</t>
  </si>
  <si>
    <t xml:space="preserve">OWASP A05</t>
  </si>
  <si>
    <t xml:space="preserve">SEC-005</t>
  </si>
  <si>
    <t xml:space="preserve">XSS Sanitizer Crash</t>
  </si>
  <si>
    <t xml:space="preserve">XSS input causes server crash</t>
  </si>
  <si>
    <t xml:space="preserve">OWASP A03</t>
  </si>
  <si>
    <t xml:space="preserve">SEC-006</t>
  </si>
  <si>
    <t xml:space="preserve">Security Headers</t>
  </si>
  <si>
    <t xml:space="preserve">All 6 present - CSP, XFO, XCTO, RP, PP, HSTS</t>
  </si>
  <si>
    <t xml:space="preserve">Fixed</t>
  </si>
  <si>
    <t xml:space="preserve">SEC-007</t>
  </si>
  <si>
    <t xml:space="preserve">Cookie HttpOnly</t>
  </si>
  <si>
    <t xml:space="preserve">flex_session not in document.cookie</t>
  </si>
  <si>
    <t xml:space="preserve">SEC-008</t>
  </si>
  <si>
    <t xml:space="preserve">Rate Limiting</t>
  </si>
  <si>
    <t xml:space="preserve">Cannot verify due to login crash</t>
  </si>
  <si>
    <t xml:space="preserve">Medium</t>
  </si>
  <si>
    <t xml:space="preserve">Inconclusive</t>
  </si>
  <si>
    <t xml:space="preserve">SEC-009</t>
  </si>
  <si>
    <t xml:space="preserve">Missing Error Boundaries</t>
  </si>
  <si>
    <t xml:space="preserve">Unhandled server errors expose stack traces</t>
  </si>
  <si>
    <t xml:space="preserve">SEC-010</t>
  </si>
  <si>
    <t xml:space="preserve">No CSRF Token</t>
  </si>
  <si>
    <t xml:space="preserve">Forms use Server Actions but no explicit CSRF</t>
  </si>
  <si>
    <t xml:space="preserve">Low</t>
  </si>
  <si>
    <t xml:space="preserve">Existing</t>
  </si>
  <si>
    <t xml:space="preserve">SEC-011</t>
  </si>
  <si>
    <t xml:space="preserve">Admin Staff 500</t>
  </si>
  <si>
    <t xml:space="preserve">Server crash on /admin/staff</t>
  </si>
  <si>
    <t xml:space="preserve">SEC-012</t>
  </si>
  <si>
    <t xml:space="preserve">Admin Settings 500</t>
  </si>
  <si>
    <t xml:space="preserve">Server crash on /admin/settings</t>
  </si>
  <si>
    <t xml:space="preserve">Issue Count</t>
  </si>
  <si>
    <t xml:space="preserve">Examples</t>
  </si>
  <si>
    <t xml:space="preserve">A01: Broken Access Control</t>
  </si>
  <si>
    <t xml:space="preserve">FAIL</t>
  </si>
  <si>
    <t xml:space="preserve">Admin no auth, no CSRF token</t>
  </si>
  <si>
    <t xml:space="preserve">A03: Injection</t>
  </si>
  <si>
    <t xml:space="preserve">XSS sanitizer crashes</t>
  </si>
  <si>
    <t xml:space="preserve">A04: Insecure Design</t>
  </si>
  <si>
    <t xml:space="preserve">A05: Security Misconfiguration</t>
  </si>
  <si>
    <t xml:space="preserve">Error leaks, 500 errors, missing boundaries</t>
  </si>
  <si>
    <t xml:space="preserve">A07: Identification &amp; Auth</t>
  </si>
  <si>
    <t xml:space="preserve">Credential block crash, rate limiting unverified, session issues</t>
  </si>
  <si>
    <t xml:space="preserve">Phase</t>
  </si>
  <si>
    <t xml:space="preserve">Finding ID</t>
  </si>
  <si>
    <t xml:space="preserve">Issue</t>
  </si>
  <si>
    <t xml:space="preserve">Fix</t>
  </si>
  <si>
    <t xml:space="preserve">Timeline</t>
  </si>
  <si>
    <t xml:space="preserve">Immediate</t>
  </si>
  <si>
    <t xml:space="preserve">Fix middleware auth check</t>
  </si>
  <si>
    <t xml:space="preserve">Today</t>
  </si>
  <si>
    <t xml:space="preserve">Use POST method for login</t>
  </si>
  <si>
    <t xml:space="preserve">Return clean error response</t>
  </si>
  <si>
    <t xml:space="preserve">Week 1</t>
  </si>
  <si>
    <t xml:space="preserve">Add try-catch around sanitizer</t>
  </si>
  <si>
    <t xml:space="preserve">Generic error messages</t>
  </si>
  <si>
    <t xml:space="preserve">Week 2</t>
  </si>
  <si>
    <t xml:space="preserve">Verify after login fix</t>
  </si>
  <si>
    <t xml:space="preserve">Security Audit Summary - Flexology V9</t>
  </si>
  <si>
    <t xml:space="preserve">Overall Security Score:</t>
  </si>
  <si>
    <t xml:space="preserve">4/10 (CRITICAL)</t>
  </si>
  <si>
    <t xml:space="preserve">Critical Issues:</t>
  </si>
  <si>
    <t xml:space="preserve">High Issues:</t>
  </si>
  <si>
    <t xml:space="preserve">Fixed Issues:</t>
  </si>
  <si>
    <t xml:space="preserve">Top Priority Fixes:</t>
  </si>
  <si>
    <t xml:space="preserve">1. Fix authentication middleware (SEC-001, SEC-002, SEC-003)</t>
  </si>
  <si>
    <t xml:space="preserve">2. Remove credentials from URLs (SEC-002)</t>
  </si>
  <si>
    <t xml:space="preserve">3. Add error boundaries to server components (SEC-004, SEC-009)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</si>
</sst>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0000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CC0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36609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366092"/>
      <rgbColor rgb="FF999999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11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20</v>
      </c>
    </row>
    <row r="5" customFormat="false" ht="15" hidden="false" customHeight="fals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11</v>
      </c>
    </row>
    <row r="6" customFormat="false" ht="15" hidden="false" customHeight="false" outlineLevel="0" collapsed="false">
      <c r="A6" s="3" t="s">
        <v>26</v>
      </c>
      <c r="B6" s="3" t="s">
        <v>27</v>
      </c>
      <c r="C6" s="3" t="s">
        <v>28</v>
      </c>
      <c r="D6" s="3" t="s">
        <v>24</v>
      </c>
      <c r="E6" s="3" t="s">
        <v>29</v>
      </c>
      <c r="F6" s="3" t="s">
        <v>20</v>
      </c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25</v>
      </c>
      <c r="F7" s="4" t="s">
        <v>33</v>
      </c>
    </row>
    <row r="8" customFormat="false" ht="15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33</v>
      </c>
      <c r="E8" s="4" t="s">
        <v>19</v>
      </c>
      <c r="F8" s="4" t="s">
        <v>33</v>
      </c>
    </row>
    <row r="9" customFormat="false" ht="15" hidden="false" customHeight="false" outlineLevel="0" collapsed="false">
      <c r="A9" s="5" t="s">
        <v>37</v>
      </c>
      <c r="B9" s="5" t="s">
        <v>38</v>
      </c>
      <c r="C9" s="5" t="s">
        <v>39</v>
      </c>
      <c r="D9" s="5" t="s">
        <v>40</v>
      </c>
      <c r="E9" s="5" t="s">
        <v>19</v>
      </c>
      <c r="F9" s="5" t="s">
        <v>41</v>
      </c>
    </row>
    <row r="10" customFormat="false" ht="15" hidden="false" customHeight="false" outlineLevel="0" collapsed="false">
      <c r="A10" s="5" t="s">
        <v>42</v>
      </c>
      <c r="B10" s="5" t="s">
        <v>43</v>
      </c>
      <c r="C10" s="5" t="s">
        <v>44</v>
      </c>
      <c r="D10" s="5" t="s">
        <v>40</v>
      </c>
      <c r="E10" s="5" t="s">
        <v>25</v>
      </c>
      <c r="F10" s="5" t="s">
        <v>11</v>
      </c>
    </row>
    <row r="11" customFormat="false" ht="15" hidden="false" customHeight="false" outlineLevel="0" collapsed="false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10</v>
      </c>
      <c r="F11" s="4" t="s">
        <v>49</v>
      </c>
    </row>
    <row r="12" customFormat="false" ht="15" hidden="false" customHeight="false" outlineLevel="0" collapsed="false">
      <c r="A12" s="3" t="s">
        <v>50</v>
      </c>
      <c r="B12" s="3" t="s">
        <v>51</v>
      </c>
      <c r="C12" s="3" t="s">
        <v>52</v>
      </c>
      <c r="D12" s="3" t="s">
        <v>24</v>
      </c>
      <c r="E12" s="3" t="s">
        <v>25</v>
      </c>
      <c r="F12" s="3" t="s">
        <v>11</v>
      </c>
    </row>
    <row r="13" customFormat="false" ht="15" hidden="false" customHeight="false" outlineLevel="0" collapsed="false">
      <c r="A13" s="3" t="s">
        <v>53</v>
      </c>
      <c r="B13" s="3" t="s">
        <v>54</v>
      </c>
      <c r="C13" s="3" t="s">
        <v>55</v>
      </c>
      <c r="D13" s="3" t="s">
        <v>24</v>
      </c>
      <c r="E13" s="3" t="s">
        <v>25</v>
      </c>
      <c r="F13" s="3" t="s">
        <v>11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26.85" hidden="false" customHeight="false" outlineLevel="0" collapsed="false">
      <c r="A1" s="1" t="s">
        <v>4</v>
      </c>
      <c r="B1" s="1" t="s">
        <v>56</v>
      </c>
      <c r="C1" s="1" t="s">
        <v>5</v>
      </c>
      <c r="D1" s="1" t="s">
        <v>57</v>
      </c>
    </row>
    <row r="2" customFormat="false" ht="23.85" hidden="false" customHeight="false" outlineLevel="0" collapsed="false">
      <c r="A2" s="2" t="s">
        <v>58</v>
      </c>
      <c r="B2" s="2" t="n">
        <v>2</v>
      </c>
      <c r="C2" s="2" t="s">
        <v>59</v>
      </c>
      <c r="D2" s="2" t="s">
        <v>60</v>
      </c>
    </row>
    <row r="3" customFormat="false" ht="23.85" hidden="false" customHeight="false" outlineLevel="0" collapsed="false">
      <c r="A3" s="2" t="s">
        <v>61</v>
      </c>
      <c r="B3" s="2" t="n">
        <v>1</v>
      </c>
      <c r="C3" s="2" t="s">
        <v>59</v>
      </c>
      <c r="D3" s="2" t="s">
        <v>62</v>
      </c>
    </row>
    <row r="4" customFormat="false" ht="23.85" hidden="false" customHeight="false" outlineLevel="0" collapsed="false">
      <c r="A4" s="2" t="s">
        <v>63</v>
      </c>
      <c r="B4" s="2" t="n">
        <v>1</v>
      </c>
      <c r="C4" s="2" t="s">
        <v>59</v>
      </c>
      <c r="D4" s="2" t="s">
        <v>13</v>
      </c>
    </row>
    <row r="5" customFormat="false" ht="35.05" hidden="false" customHeight="false" outlineLevel="0" collapsed="false">
      <c r="A5" s="2" t="s">
        <v>64</v>
      </c>
      <c r="B5" s="2" t="n">
        <v>5</v>
      </c>
      <c r="C5" s="2" t="s">
        <v>59</v>
      </c>
      <c r="D5" s="2" t="s">
        <v>65</v>
      </c>
    </row>
    <row r="6" customFormat="false" ht="46.25" hidden="false" customHeight="false" outlineLevel="0" collapsed="false">
      <c r="A6" s="2" t="s">
        <v>66</v>
      </c>
      <c r="B6" s="2" t="n">
        <v>3</v>
      </c>
      <c r="C6" s="2" t="s">
        <v>59</v>
      </c>
      <c r="D6" s="2" t="s">
        <v>67</v>
      </c>
    </row>
  </sheetData>
  <autoFilter ref="A1:D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12"/>
    <col collapsed="false" customWidth="true" hidden="false" outlineLevel="0" max="6" min="5" style="0" width="18"/>
  </cols>
  <sheetData>
    <row r="1" customFormat="false" ht="15" hidden="false" customHeight="false" outlineLevel="0" collapsed="false">
      <c r="A1" s="1" t="s">
        <v>68</v>
      </c>
      <c r="B1" s="1" t="s">
        <v>69</v>
      </c>
      <c r="C1" s="1" t="s">
        <v>70</v>
      </c>
      <c r="D1" s="1" t="s">
        <v>3</v>
      </c>
      <c r="E1" s="1" t="s">
        <v>71</v>
      </c>
      <c r="F1" s="1" t="s">
        <v>72</v>
      </c>
    </row>
    <row r="2" customFormat="false" ht="23.85" hidden="false" customHeight="false" outlineLevel="0" collapsed="false">
      <c r="A2" s="2" t="s">
        <v>73</v>
      </c>
      <c r="B2" s="2" t="s">
        <v>6</v>
      </c>
      <c r="C2" s="2" t="s">
        <v>7</v>
      </c>
      <c r="D2" s="2" t="s">
        <v>9</v>
      </c>
      <c r="E2" s="2" t="s">
        <v>74</v>
      </c>
      <c r="F2" s="2" t="s">
        <v>75</v>
      </c>
    </row>
    <row r="3" customFormat="false" ht="23.85" hidden="false" customHeight="false" outlineLevel="0" collapsed="false">
      <c r="A3" s="2" t="s">
        <v>73</v>
      </c>
      <c r="B3" s="2" t="s">
        <v>12</v>
      </c>
      <c r="C3" s="2" t="s">
        <v>13</v>
      </c>
      <c r="D3" s="2" t="s">
        <v>9</v>
      </c>
      <c r="E3" s="2" t="s">
        <v>76</v>
      </c>
      <c r="F3" s="2" t="s">
        <v>75</v>
      </c>
    </row>
    <row r="4" customFormat="false" ht="23.85" hidden="false" customHeight="false" outlineLevel="0" collapsed="false">
      <c r="A4" s="2" t="s">
        <v>73</v>
      </c>
      <c r="B4" s="2" t="s">
        <v>16</v>
      </c>
      <c r="C4" s="2" t="s">
        <v>17</v>
      </c>
      <c r="D4" s="2" t="s">
        <v>9</v>
      </c>
      <c r="E4" s="2" t="s">
        <v>77</v>
      </c>
      <c r="F4" s="2" t="s">
        <v>75</v>
      </c>
    </row>
    <row r="5" customFormat="false" ht="23.85" hidden="false" customHeight="false" outlineLevel="0" collapsed="false">
      <c r="A5" s="3" t="s">
        <v>78</v>
      </c>
      <c r="B5" s="3" t="s">
        <v>26</v>
      </c>
      <c r="C5" s="3" t="s">
        <v>27</v>
      </c>
      <c r="D5" s="3" t="s">
        <v>24</v>
      </c>
      <c r="E5" s="3" t="s">
        <v>79</v>
      </c>
      <c r="F5" s="3" t="s">
        <v>78</v>
      </c>
    </row>
    <row r="6" customFormat="false" ht="23.85" hidden="false" customHeight="false" outlineLevel="0" collapsed="false">
      <c r="A6" s="3" t="s">
        <v>78</v>
      </c>
      <c r="B6" s="3" t="s">
        <v>21</v>
      </c>
      <c r="C6" s="3" t="s">
        <v>22</v>
      </c>
      <c r="D6" s="3" t="s">
        <v>24</v>
      </c>
      <c r="E6" s="3" t="s">
        <v>80</v>
      </c>
      <c r="F6" s="3" t="s">
        <v>78</v>
      </c>
    </row>
    <row r="7" customFormat="false" ht="15" hidden="false" customHeight="false" outlineLevel="0" collapsed="false">
      <c r="A7" s="5" t="s">
        <v>81</v>
      </c>
      <c r="B7" s="5" t="s">
        <v>37</v>
      </c>
      <c r="C7" s="5" t="s">
        <v>38</v>
      </c>
      <c r="D7" s="5" t="s">
        <v>40</v>
      </c>
      <c r="E7" s="5" t="s">
        <v>82</v>
      </c>
      <c r="F7" s="5" t="s">
        <v>81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6" t="s">
        <v>83</v>
      </c>
    </row>
    <row r="3" customFormat="false" ht="15" hidden="false" customHeight="false" outlineLevel="0" collapsed="false">
      <c r="A3" s="0" t="s">
        <v>84</v>
      </c>
      <c r="B3" s="7" t="s">
        <v>85</v>
      </c>
    </row>
    <row r="5" customFormat="false" ht="15" hidden="false" customHeight="false" outlineLevel="0" collapsed="false">
      <c r="A5" s="8" t="s">
        <v>86</v>
      </c>
      <c r="B5" s="9" t="n">
        <f aca="false">COUNTIF('Security Findings'!D2:D13,"Critical")</f>
        <v>3</v>
      </c>
    </row>
    <row r="6" customFormat="false" ht="15" hidden="false" customHeight="false" outlineLevel="0" collapsed="false">
      <c r="A6" s="8" t="s">
        <v>87</v>
      </c>
      <c r="B6" s="9" t="n">
        <f aca="false">COUNTIF('Security Findings'!D2:D13,"High")</f>
        <v>4</v>
      </c>
    </row>
    <row r="7" customFormat="false" ht="15" hidden="false" customHeight="false" outlineLevel="0" collapsed="false">
      <c r="A7" s="8" t="s">
        <v>88</v>
      </c>
      <c r="B7" s="9" t="n">
        <f aca="false">COUNTIF('Security Findings'!D2:D13,"Fixed")</f>
        <v>2</v>
      </c>
    </row>
    <row r="9" customFormat="false" ht="15" hidden="false" customHeight="false" outlineLevel="0" collapsed="false">
      <c r="A9" s="0" t="s">
        <v>89</v>
      </c>
    </row>
    <row r="10" customFormat="false" ht="15" hidden="false" customHeight="false" outlineLevel="0" collapsed="false">
      <c r="A10" s="0" t="s">
        <v>90</v>
      </c>
    </row>
    <row r="11" customFormat="false" ht="15" hidden="false" customHeight="false" outlineLevel="0" collapsed="false">
      <c r="A11" s="0" t="s">
        <v>91</v>
      </c>
    </row>
    <row r="12" customFormat="false" ht="15" hidden="false" customHeight="false" outlineLevel="0" collapsed="false">
      <c r="A12" s="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2026-04-04T18:20:27Z</dcterms:created>
  <dc:creator>openpyxl</dc:creator>
  <dc:description/>
  <dc:language>en-US</dc:language>
  <cp:lastModifiedBy/>
  <dcterms:modified xsi:type="dcterms:W3CDTF">2026-04-04T18:20:27Z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