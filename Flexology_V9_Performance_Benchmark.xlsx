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e Metrics" sheetId="1" state="visible" r:id="rId3"/>
    <sheet name="Core Web Vitals" sheetId="2" state="visible" r:id="rId4"/>
    <sheet name="V8 vs V9 Comparison" sheetId="3" state="visible" r:id="rId5"/>
    <sheet name="Bottleneck Analysis" sheetId="4" state="visible" r:id="rId6"/>
    <sheet name="Recommendations" sheetId="5" state="visible" r:id="rId7"/>
  </sheets>
  <definedNames>
    <definedName function="false" hidden="true" localSheetId="3" name="_xlnm._FilterDatabase" vbProcedure="false">'Bottleneck Analysis'!$A$1:$E$1</definedName>
    <definedName function="false" hidden="true" localSheetId="1" name="_xlnm._FilterDatabase" vbProcedure="false">'Core Web Vitals'!$A$1:$E$1</definedName>
    <definedName function="false" hidden="true" localSheetId="0" name="_xlnm._FilterDatabase" vbProcedure="false">'Page Metrics'!$A$1:$J$1</definedName>
    <definedName function="false" hidden="true" localSheetId="4" name="_xlnm._FilterDatabase" vbProcedure="false">Recommendations!$A$1:$E$1</definedName>
    <definedName function="false" hidden="true" localSheetId="2" name="_xlnm._FilterDatabase" vbProcedure="false">'V8 vs V9 Comparison'!$A$1:$E$1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<sst xmlns="http://schemas.openxmlformats.org/spreadsheetml/2006/main" count="167" uniqueCount="115">
  <si>
    <t xml:space="preserve">Page</t>
  </si>
  <si>
    <t xml:space="preserve">URL</t>
  </si>
  <si>
    <t xml:space="preserve">Status</t>
  </si>
  <si>
    <t xml:space="preserve">TTFB (ms)</t>
  </si>
  <si>
    <t xml:space="preserve">DOM Loaded (ms)</t>
  </si>
  <si>
    <t xml:space="preserve">Load Complete (ms)</t>
  </si>
  <si>
    <t xml:space="preserve">FCP (ms)</t>
  </si>
  <si>
    <t xml:space="preserve">Resources</t>
  </si>
  <si>
    <t xml:space="preserve">JS Size (bytes)</t>
  </si>
  <si>
    <t xml:space="preserve">Rating</t>
  </si>
  <si>
    <t xml:space="preserve">Homepage</t>
  </si>
  <si>
    <t xml:space="preserve">/</t>
  </si>
  <si>
    <t xml:space="preserve">OK</t>
  </si>
  <si>
    <t xml:space="preserve">FAIL - FCP</t>
  </si>
  <si>
    <t xml:space="preserve">Booking</t>
  </si>
  <si>
    <t xml:space="preserve">/book</t>
  </si>
  <si>
    <t xml:space="preserve">PASS</t>
  </si>
  <si>
    <t xml:space="preserve">Login</t>
  </si>
  <si>
    <t xml:space="preserve">/login</t>
  </si>
  <si>
    <t xml:space="preserve">Register</t>
  </si>
  <si>
    <t xml:space="preserve">/register</t>
  </si>
  <si>
    <t xml:space="preserve">Services</t>
  </si>
  <si>
    <t xml:space="preserve">/services</t>
  </si>
  <si>
    <t xml:space="preserve">WARN - slow</t>
  </si>
  <si>
    <t xml:space="preserve">Rewards</t>
  </si>
  <si>
    <t xml:space="preserve">/rewards</t>
  </si>
  <si>
    <t xml:space="preserve">Redirect</t>
  </si>
  <si>
    <t xml:space="preserve">FAIL - redirect</t>
  </si>
  <si>
    <t xml:space="preserve">Profile</t>
  </si>
  <si>
    <t xml:space="preserve">/profile</t>
  </si>
  <si>
    <t xml:space="preserve">500 Error</t>
  </si>
  <si>
    <t xml:space="preserve">FAIL - crash</t>
  </si>
  <si>
    <t xml:space="preserve">Admin Dashboard</t>
  </si>
  <si>
    <t xml:space="preserve">/admin</t>
  </si>
  <si>
    <t xml:space="preserve">Admin Schedule</t>
  </si>
  <si>
    <t xml:space="preserve">/admin/schedule</t>
  </si>
  <si>
    <t xml:space="preserve">WARN - heavy JS</t>
  </si>
  <si>
    <t xml:space="preserve">Admin Staff</t>
  </si>
  <si>
    <t xml:space="preserve">/admin/staff</t>
  </si>
  <si>
    <t xml:space="preserve">Metric</t>
  </si>
  <si>
    <t xml:space="preserve">Target</t>
  </si>
  <si>
    <t xml:space="preserve">Actual</t>
  </si>
  <si>
    <t xml:space="preserve">FCP</t>
  </si>
  <si>
    <t xml:space="preserve">1800ms</t>
  </si>
  <si>
    <t xml:space="preserve">11868ms</t>
  </si>
  <si>
    <t xml:space="preserve">FAIL</t>
  </si>
  <si>
    <t xml:space="preserve">TTFB</t>
  </si>
  <si>
    <t xml:space="preserve">600ms</t>
  </si>
  <si>
    <t xml:space="preserve">302ms</t>
  </si>
  <si>
    <t xml:space="preserve">N/A</t>
  </si>
  <si>
    <t xml:space="preserve">BLOCKED</t>
  </si>
  <si>
    <t xml:space="preserve">1363ms</t>
  </si>
  <si>
    <t xml:space="preserve">WARN</t>
  </si>
  <si>
    <t xml:space="preserve">JS Size</t>
  </si>
  <si>
    <t xml:space="preserve">&lt; 3MB</t>
  </si>
  <si>
    <t xml:space="preserve">15059 bytes</t>
  </si>
  <si>
    <t xml:space="preserve">V8</t>
  </si>
  <si>
    <t xml:space="preserve">V9</t>
  </si>
  <si>
    <t xml:space="preserve">Change</t>
  </si>
  <si>
    <t xml:space="preserve">Improvement %</t>
  </si>
  <si>
    <t xml:space="preserve">Homepage FCP</t>
  </si>
  <si>
    <t xml:space="preserve">48636 ms</t>
  </si>
  <si>
    <t xml:space="preserve">11868 ms</t>
  </si>
  <si>
    <t xml:space="preserve">Reduced</t>
  </si>
  <si>
    <t xml:space="preserve">Homepage TTFB</t>
  </si>
  <si>
    <t xml:space="preserve">2760 ms</t>
  </si>
  <si>
    <t xml:space="preserve">302-3631 ms</t>
  </si>
  <si>
    <t xml:space="preserve">Improved</t>
  </si>
  <si>
    <t xml:space="preserve">Admin Dashboard TTFB</t>
  </si>
  <si>
    <t xml:space="preserve">4500 ms</t>
  </si>
  <si>
    <t xml:space="preserve">1363 ms</t>
  </si>
  <si>
    <t xml:space="preserve">Issue</t>
  </si>
  <si>
    <t xml:space="preserve">Root Cause</t>
  </si>
  <si>
    <t xml:space="preserve">Severity</t>
  </si>
  <si>
    <t xml:space="preserve">Recommendation</t>
  </si>
  <si>
    <t xml:space="preserve">High FCP (11.9s)</t>
  </si>
  <si>
    <t xml:space="preserve">GSAP lazy loading, unoptimized assets</t>
  </si>
  <si>
    <t xml:space="preserve">High</t>
  </si>
  <si>
    <t xml:space="preserve">Optimize GSAP, add code splitting</t>
  </si>
  <si>
    <t xml:space="preserve">Slow load (999ms)</t>
  </si>
  <si>
    <t xml:space="preserve">Large asset bundle</t>
  </si>
  <si>
    <t xml:space="preserve">Medium</t>
  </si>
  <si>
    <t xml:space="preserve">Implement lazy loading</t>
  </si>
  <si>
    <t xml:space="preserve">Slow TTFB (1363ms)</t>
  </si>
  <si>
    <t xml:space="preserve">Server-side rendering overhead</t>
  </si>
  <si>
    <t xml:space="preserve">Optimize server components</t>
  </si>
  <si>
    <t xml:space="preserve">Heavy JS (15MB)</t>
  </si>
  <si>
    <t xml:space="preserve">Large bundle size</t>
  </si>
  <si>
    <t xml:space="preserve">Code split and defer non-critical JS</t>
  </si>
  <si>
    <t xml:space="preserve">Unhandled server component error</t>
  </si>
  <si>
    <t xml:space="preserve">Critical</t>
  </si>
  <si>
    <t xml:space="preserve">Add error boundaries</t>
  </si>
  <si>
    <t xml:space="preserve">Server crash on render</t>
  </si>
  <si>
    <t xml:space="preserve">Debug server component</t>
  </si>
  <si>
    <t xml:space="preserve">Priority</t>
  </si>
  <si>
    <t xml:space="preserve">Area</t>
  </si>
  <si>
    <t xml:space="preserve">Action</t>
  </si>
  <si>
    <t xml:space="preserve">Impact</t>
  </si>
  <si>
    <t xml:space="preserve">Timeline</t>
  </si>
  <si>
    <t xml:space="preserve">1</t>
  </si>
  <si>
    <t xml:space="preserve">Performance</t>
  </si>
  <si>
    <t xml:space="preserve">Optimize GSAP lazy loading</t>
  </si>
  <si>
    <t xml:space="preserve">Week 1</t>
  </si>
  <si>
    <t xml:space="preserve">2</t>
  </si>
  <si>
    <t xml:space="preserve">Implement code splitting for admin pages</t>
  </si>
  <si>
    <t xml:space="preserve">3</t>
  </si>
  <si>
    <t xml:space="preserve">Stability</t>
  </si>
  <si>
    <t xml:space="preserve">Add error boundaries to server components</t>
  </si>
  <si>
    <t xml:space="preserve">Immediate</t>
  </si>
  <si>
    <t xml:space="preserve">4</t>
  </si>
  <si>
    <t xml:space="preserve">Reduce Admin Schedule JS bundle</t>
  </si>
  <si>
    <t xml:space="preserve">Week 2</t>
  </si>
  <si>
    <t xml:space="preserve">5</t>
  </si>
  <si>
    <t xml:space="preserve">Infrastructure</t>
  </si>
  <si>
    <t xml:space="preserve">Add Vercel warming to improve TTFB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</si>
</sst>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00B05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A500"/>
      </patternFill>
    </fill>
    <fill>
      <patternFill patternType="solid">
        <fgColor rgb="FFFFA500"/>
        <bgColor rgb="FFFFCC0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36609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366092"/>
      <rgbColor rgb="FF999999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5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6" min="5" style="1" width="14"/>
    <col collapsed="false" customWidth="true" hidden="false" outlineLevel="0" max="8" min="7" style="1" width="12"/>
    <col collapsed="false" customWidth="true" hidden="false" outlineLevel="0" max="9" min="9" style="1" width="14"/>
    <col collapsed="false" customWidth="true" hidden="false" outlineLevel="0" max="10" min="10" style="1" width="15"/>
  </cols>
  <sheetData>
    <row r="1" customFormat="false" ht="39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true" outlineLevel="0" collapsed="false">
      <c r="A2" s="3" t="s">
        <v>10</v>
      </c>
      <c r="B2" s="3" t="s">
        <v>11</v>
      </c>
      <c r="C2" s="3" t="s">
        <v>12</v>
      </c>
      <c r="D2" s="3" t="n">
        <v>302</v>
      </c>
      <c r="E2" s="3" t="n">
        <v>452</v>
      </c>
      <c r="F2" s="3" t="n">
        <v>464</v>
      </c>
      <c r="G2" s="3" t="n">
        <v>11868</v>
      </c>
      <c r="H2" s="3" t="n">
        <v>21</v>
      </c>
      <c r="I2" s="3" t="n">
        <v>0</v>
      </c>
      <c r="J2" s="3" t="s">
        <v>13</v>
      </c>
    </row>
    <row r="3" customFormat="false" ht="15" hidden="false" customHeight="true" outlineLevel="0" collapsed="false">
      <c r="A3" s="3" t="s">
        <v>14</v>
      </c>
      <c r="B3" s="3" t="s">
        <v>15</v>
      </c>
      <c r="C3" s="3" t="s">
        <v>12</v>
      </c>
      <c r="D3" s="3" t="n">
        <v>339</v>
      </c>
      <c r="E3" s="3" t="n">
        <v>461</v>
      </c>
      <c r="F3" s="3" t="n">
        <v>476</v>
      </c>
      <c r="G3" s="3"/>
      <c r="H3" s="3" t="n">
        <v>23</v>
      </c>
      <c r="I3" s="3" t="n">
        <v>0</v>
      </c>
      <c r="J3" s="3" t="s">
        <v>16</v>
      </c>
    </row>
    <row r="4" customFormat="false" ht="15" hidden="false" customHeight="true" outlineLevel="0" collapsed="false">
      <c r="A4" s="3" t="s">
        <v>17</v>
      </c>
      <c r="B4" s="3" t="s">
        <v>18</v>
      </c>
      <c r="C4" s="3" t="s">
        <v>12</v>
      </c>
      <c r="D4" s="3" t="n">
        <v>353</v>
      </c>
      <c r="E4" s="3" t="n">
        <v>486</v>
      </c>
      <c r="F4" s="3" t="n">
        <v>496</v>
      </c>
      <c r="G4" s="3"/>
      <c r="H4" s="3" t="n">
        <v>19</v>
      </c>
      <c r="I4" s="3" t="n">
        <v>0</v>
      </c>
      <c r="J4" s="3" t="s">
        <v>16</v>
      </c>
    </row>
    <row r="5" customFormat="false" ht="15" hidden="false" customHeight="true" outlineLevel="0" collapsed="false">
      <c r="A5" s="3" t="s">
        <v>19</v>
      </c>
      <c r="B5" s="3" t="s">
        <v>20</v>
      </c>
      <c r="C5" s="3" t="s">
        <v>12</v>
      </c>
      <c r="D5" s="3" t="n">
        <v>296</v>
      </c>
      <c r="E5" s="3" t="n">
        <v>418</v>
      </c>
      <c r="F5" s="3" t="n">
        <v>451</v>
      </c>
      <c r="G5" s="3"/>
      <c r="H5" s="3" t="n">
        <v>19</v>
      </c>
      <c r="I5" s="3" t="n">
        <v>0</v>
      </c>
      <c r="J5" s="3" t="s">
        <v>16</v>
      </c>
    </row>
    <row r="6" customFormat="false" ht="15" hidden="false" customHeight="true" outlineLevel="0" collapsed="false">
      <c r="A6" s="3" t="s">
        <v>21</v>
      </c>
      <c r="B6" s="3" t="s">
        <v>22</v>
      </c>
      <c r="C6" s="3" t="s">
        <v>12</v>
      </c>
      <c r="D6" s="3" t="n">
        <v>675</v>
      </c>
      <c r="E6" s="3" t="n">
        <v>805</v>
      </c>
      <c r="F6" s="3" t="n">
        <v>999</v>
      </c>
      <c r="G6" s="3"/>
      <c r="H6" s="3" t="n">
        <v>18</v>
      </c>
      <c r="I6" s="3" t="n">
        <v>1481</v>
      </c>
      <c r="J6" s="3" t="s">
        <v>23</v>
      </c>
    </row>
    <row r="7" customFormat="false" ht="15" hidden="false" customHeight="true" outlineLevel="0" collapsed="false">
      <c r="A7" s="4" t="s">
        <v>24</v>
      </c>
      <c r="B7" s="4" t="s">
        <v>25</v>
      </c>
      <c r="C7" s="4" t="s">
        <v>26</v>
      </c>
      <c r="D7" s="4" t="n">
        <v>312</v>
      </c>
      <c r="E7" s="4" t="n">
        <v>385</v>
      </c>
      <c r="F7" s="4" t="n">
        <v>393</v>
      </c>
      <c r="G7" s="4"/>
      <c r="H7" s="4" t="n">
        <v>21</v>
      </c>
      <c r="I7" s="4" t="n">
        <v>0</v>
      </c>
      <c r="J7" s="4" t="s">
        <v>27</v>
      </c>
    </row>
    <row r="8" customFormat="false" ht="15" hidden="false" customHeight="true" outlineLevel="0" collapsed="false">
      <c r="A8" s="4" t="s">
        <v>28</v>
      </c>
      <c r="B8" s="4" t="s">
        <v>29</v>
      </c>
      <c r="C8" s="4" t="s">
        <v>30</v>
      </c>
      <c r="D8" s="4" t="n">
        <v>695</v>
      </c>
      <c r="E8" s="4" t="n">
        <v>890</v>
      </c>
      <c r="F8" s="4" t="n">
        <v>1069</v>
      </c>
      <c r="G8" s="4"/>
      <c r="H8" s="4" t="n">
        <v>9</v>
      </c>
      <c r="I8" s="4" t="n">
        <v>1793</v>
      </c>
      <c r="J8" s="4" t="s">
        <v>31</v>
      </c>
    </row>
    <row r="9" customFormat="false" ht="15" hidden="false" customHeight="true" outlineLevel="0" collapsed="false">
      <c r="A9" s="3" t="s">
        <v>32</v>
      </c>
      <c r="B9" s="3" t="s">
        <v>33</v>
      </c>
      <c r="C9" s="3" t="s">
        <v>12</v>
      </c>
      <c r="D9" s="3" t="n">
        <v>1363</v>
      </c>
      <c r="E9" s="3" t="n">
        <v>1447</v>
      </c>
      <c r="F9" s="3" t="n">
        <v>1731</v>
      </c>
      <c r="G9" s="3"/>
      <c r="H9" s="3" t="n">
        <v>18</v>
      </c>
      <c r="I9" s="3" t="n">
        <v>1214</v>
      </c>
      <c r="J9" s="3" t="s">
        <v>23</v>
      </c>
    </row>
    <row r="10" customFormat="false" ht="23.25" hidden="false" customHeight="true" outlineLevel="0" collapsed="false">
      <c r="A10" s="3" t="s">
        <v>34</v>
      </c>
      <c r="B10" s="3" t="s">
        <v>35</v>
      </c>
      <c r="C10" s="3" t="s">
        <v>12</v>
      </c>
      <c r="D10" s="3" t="n">
        <v>860</v>
      </c>
      <c r="E10" s="3" t="n">
        <v>974</v>
      </c>
      <c r="F10" s="3" t="n">
        <v>1271</v>
      </c>
      <c r="G10" s="3"/>
      <c r="H10" s="3" t="n">
        <v>20</v>
      </c>
      <c r="I10" s="3" t="n">
        <v>15059</v>
      </c>
      <c r="J10" s="3" t="s">
        <v>36</v>
      </c>
    </row>
    <row r="11" customFormat="false" ht="15" hidden="false" customHeight="true" outlineLevel="0" collapsed="false">
      <c r="A11" s="4" t="s">
        <v>37</v>
      </c>
      <c r="B11" s="4" t="s">
        <v>38</v>
      </c>
      <c r="C11" s="4" t="s">
        <v>30</v>
      </c>
      <c r="D11" s="4" t="n">
        <v>664</v>
      </c>
      <c r="E11" s="4" t="n">
        <v>790</v>
      </c>
      <c r="F11" s="4" t="n">
        <v>799</v>
      </c>
      <c r="G11" s="4"/>
      <c r="H11" s="4" t="n">
        <v>9</v>
      </c>
      <c r="I11" s="4" t="n">
        <v>0</v>
      </c>
      <c r="J11" s="4" t="s">
        <v>31</v>
      </c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1" width="18"/>
    <col collapsed="false" customWidth="true" hidden="false" outlineLevel="0" max="5" min="5" style="1" width="14"/>
  </cols>
  <sheetData>
    <row r="1" customFormat="false" ht="15" hidden="false" customHeight="true" outlineLevel="0" collapsed="false">
      <c r="A1" s="2" t="s">
        <v>0</v>
      </c>
      <c r="B1" s="2" t="s">
        <v>39</v>
      </c>
      <c r="C1" s="2" t="s">
        <v>40</v>
      </c>
      <c r="D1" s="2" t="s">
        <v>41</v>
      </c>
      <c r="E1" s="2" t="s">
        <v>2</v>
      </c>
    </row>
    <row r="2" customFormat="false" ht="15" hidden="false" customHeight="true" outlineLevel="0" collapsed="false">
      <c r="A2" s="5" t="s">
        <v>10</v>
      </c>
      <c r="B2" s="5" t="s">
        <v>42</v>
      </c>
      <c r="C2" s="5" t="s">
        <v>43</v>
      </c>
      <c r="D2" s="5" t="s">
        <v>44</v>
      </c>
      <c r="E2" s="5" t="s">
        <v>45</v>
      </c>
    </row>
    <row r="3" customFormat="false" ht="15" hidden="false" customHeight="true" outlineLevel="0" collapsed="false">
      <c r="A3" s="3" t="s">
        <v>10</v>
      </c>
      <c r="B3" s="3" t="s">
        <v>46</v>
      </c>
      <c r="C3" s="3" t="s">
        <v>47</v>
      </c>
      <c r="D3" s="3" t="s">
        <v>48</v>
      </c>
      <c r="E3" s="3" t="s">
        <v>16</v>
      </c>
    </row>
    <row r="4" customFormat="false" ht="15" hidden="false" customHeight="true" outlineLevel="0" collapsed="false">
      <c r="A4" s="6" t="s">
        <v>14</v>
      </c>
      <c r="B4" s="6" t="s">
        <v>42</v>
      </c>
      <c r="C4" s="6" t="s">
        <v>43</v>
      </c>
      <c r="D4" s="6" t="s">
        <v>49</v>
      </c>
      <c r="E4" s="6" t="s">
        <v>50</v>
      </c>
    </row>
    <row r="5" customFormat="false" ht="15" hidden="false" customHeight="true" outlineLevel="0" collapsed="false">
      <c r="A5" s="6" t="s">
        <v>17</v>
      </c>
      <c r="B5" s="6" t="s">
        <v>42</v>
      </c>
      <c r="C5" s="6" t="s">
        <v>43</v>
      </c>
      <c r="D5" s="6" t="s">
        <v>49</v>
      </c>
      <c r="E5" s="6" t="s">
        <v>50</v>
      </c>
    </row>
    <row r="6" customFormat="false" ht="15" hidden="false" customHeight="true" outlineLevel="0" collapsed="false">
      <c r="A6" s="4" t="s">
        <v>32</v>
      </c>
      <c r="B6" s="4" t="s">
        <v>46</v>
      </c>
      <c r="C6" s="4" t="s">
        <v>47</v>
      </c>
      <c r="D6" s="4" t="s">
        <v>51</v>
      </c>
      <c r="E6" s="4" t="s">
        <v>52</v>
      </c>
    </row>
    <row r="7" customFormat="false" ht="15" hidden="false" customHeight="true" outlineLevel="0" collapsed="false">
      <c r="A7" s="3" t="s">
        <v>34</v>
      </c>
      <c r="B7" s="3" t="s">
        <v>53</v>
      </c>
      <c r="C7" s="3" t="s">
        <v>54</v>
      </c>
      <c r="D7" s="3" t="s">
        <v>55</v>
      </c>
      <c r="E7" s="3" t="s">
        <v>16</v>
      </c>
    </row>
  </sheetData>
  <autoFilter ref="A1:E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1" width="18"/>
  </cols>
  <sheetData>
    <row r="1" customFormat="false" ht="15" hidden="false" customHeight="true" outlineLevel="0" collapsed="false">
      <c r="A1" s="2" t="s">
        <v>39</v>
      </c>
      <c r="B1" s="2" t="s">
        <v>56</v>
      </c>
      <c r="C1" s="2" t="s">
        <v>57</v>
      </c>
      <c r="D1" s="2" t="s">
        <v>58</v>
      </c>
      <c r="E1" s="2" t="s">
        <v>59</v>
      </c>
    </row>
    <row r="2" customFormat="false" ht="15" hidden="false" customHeight="true" outlineLevel="0" collapsed="false">
      <c r="A2" s="4" t="s">
        <v>60</v>
      </c>
      <c r="B2" s="4" t="s">
        <v>61</v>
      </c>
      <c r="C2" s="4" t="s">
        <v>62</v>
      </c>
      <c r="D2" s="4" t="s">
        <v>63</v>
      </c>
      <c r="E2" s="4" t="n">
        <f aca="false">1-(11868/48636)</f>
        <v>0.755983222304466</v>
      </c>
    </row>
    <row r="3" customFormat="false" ht="15" hidden="false" customHeight="true" outlineLevel="0" collapsed="false">
      <c r="A3" s="4" t="s">
        <v>64</v>
      </c>
      <c r="B3" s="4" t="s">
        <v>65</v>
      </c>
      <c r="C3" s="4" t="s">
        <v>66</v>
      </c>
      <c r="D3" s="4" t="s">
        <v>67</v>
      </c>
      <c r="E3" s="4" t="n">
        <f aca="false">1-(3631/2760)</f>
        <v>-0.315579710144928</v>
      </c>
    </row>
    <row r="4" customFormat="false" ht="23.25" hidden="false" customHeight="true" outlineLevel="0" collapsed="false">
      <c r="A4" s="4" t="s">
        <v>68</v>
      </c>
      <c r="B4" s="4" t="s">
        <v>69</v>
      </c>
      <c r="C4" s="4" t="s">
        <v>70</v>
      </c>
      <c r="D4" s="4" t="s">
        <v>67</v>
      </c>
      <c r="E4" s="4" t="n">
        <f aca="false">1-(1363/4500)</f>
        <v>0.697111111111111</v>
      </c>
    </row>
  </sheetData>
  <autoFilter ref="A1:E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18"/>
    <col collapsed="false" customWidth="true" hidden="false" outlineLevel="0" max="4" min="4" style="1" width="12"/>
    <col collapsed="false" customWidth="true" hidden="false" outlineLevel="0" max="5" min="5" style="1" width="30"/>
  </cols>
  <sheetData>
    <row r="1" customFormat="false" ht="15" hidden="false" customHeight="true" outlineLevel="0" collapsed="false">
      <c r="A1" s="2" t="s">
        <v>0</v>
      </c>
      <c r="B1" s="2" t="s">
        <v>71</v>
      </c>
      <c r="C1" s="2" t="s">
        <v>72</v>
      </c>
      <c r="D1" s="2" t="s">
        <v>73</v>
      </c>
      <c r="E1" s="2" t="s">
        <v>74</v>
      </c>
    </row>
    <row r="2" customFormat="false" ht="23.25" hidden="false" customHeight="true" outlineLevel="0" collapsed="false">
      <c r="A2" s="7" t="s">
        <v>10</v>
      </c>
      <c r="B2" s="7" t="s">
        <v>75</v>
      </c>
      <c r="C2" s="7" t="s">
        <v>76</v>
      </c>
      <c r="D2" s="7" t="s">
        <v>77</v>
      </c>
      <c r="E2" s="7" t="s">
        <v>78</v>
      </c>
    </row>
    <row r="3" customFormat="false" ht="15" hidden="false" customHeight="true" outlineLevel="0" collapsed="false">
      <c r="A3" s="8" t="s">
        <v>21</v>
      </c>
      <c r="B3" s="8" t="s">
        <v>79</v>
      </c>
      <c r="C3" s="8" t="s">
        <v>80</v>
      </c>
      <c r="D3" s="8" t="s">
        <v>81</v>
      </c>
      <c r="E3" s="8" t="s">
        <v>82</v>
      </c>
    </row>
    <row r="4" customFormat="false" ht="23.25" hidden="false" customHeight="true" outlineLevel="0" collapsed="false">
      <c r="A4" s="7" t="s">
        <v>32</v>
      </c>
      <c r="B4" s="7" t="s">
        <v>83</v>
      </c>
      <c r="C4" s="7" t="s">
        <v>84</v>
      </c>
      <c r="D4" s="7" t="s">
        <v>77</v>
      </c>
      <c r="E4" s="7" t="s">
        <v>85</v>
      </c>
    </row>
    <row r="5" customFormat="false" ht="15" hidden="false" customHeight="true" outlineLevel="0" collapsed="false">
      <c r="A5" s="7" t="s">
        <v>34</v>
      </c>
      <c r="B5" s="7" t="s">
        <v>86</v>
      </c>
      <c r="C5" s="7" t="s">
        <v>87</v>
      </c>
      <c r="D5" s="7" t="s">
        <v>77</v>
      </c>
      <c r="E5" s="7" t="s">
        <v>88</v>
      </c>
    </row>
    <row r="6" customFormat="false" ht="23.25" hidden="false" customHeight="true" outlineLevel="0" collapsed="false">
      <c r="A6" s="5" t="s">
        <v>28</v>
      </c>
      <c r="B6" s="5" t="s">
        <v>30</v>
      </c>
      <c r="C6" s="5" t="s">
        <v>89</v>
      </c>
      <c r="D6" s="5" t="s">
        <v>90</v>
      </c>
      <c r="E6" s="5" t="s">
        <v>91</v>
      </c>
    </row>
    <row r="7" customFormat="false" ht="23.25" hidden="false" customHeight="true" outlineLevel="0" collapsed="false">
      <c r="A7" s="5" t="s">
        <v>37</v>
      </c>
      <c r="B7" s="5" t="s">
        <v>30</v>
      </c>
      <c r="C7" s="5" t="s">
        <v>92</v>
      </c>
      <c r="D7" s="5" t="s">
        <v>90</v>
      </c>
      <c r="E7" s="5" t="s">
        <v>93</v>
      </c>
    </row>
  </sheetData>
  <autoFilter ref="A1:E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1" width="18"/>
  </cols>
  <sheetData>
    <row r="1" customFormat="false" ht="15" hidden="false" customHeight="true" outlineLevel="0" collapsed="false">
      <c r="A1" s="2" t="s">
        <v>94</v>
      </c>
      <c r="B1" s="2" t="s">
        <v>95</v>
      </c>
      <c r="C1" s="2" t="s">
        <v>96</v>
      </c>
      <c r="D1" s="2" t="s">
        <v>97</v>
      </c>
      <c r="E1" s="2" t="s">
        <v>98</v>
      </c>
    </row>
    <row r="2" customFormat="false" ht="23.25" hidden="false" customHeight="true" outlineLevel="0" collapsed="false">
      <c r="A2" s="4" t="s">
        <v>99</v>
      </c>
      <c r="B2" s="4" t="s">
        <v>100</v>
      </c>
      <c r="C2" s="4" t="s">
        <v>101</v>
      </c>
      <c r="D2" s="4" t="s">
        <v>77</v>
      </c>
      <c r="E2" s="4" t="s">
        <v>102</v>
      </c>
    </row>
    <row r="3" customFormat="false" ht="34.5" hidden="false" customHeight="true" outlineLevel="0" collapsed="false">
      <c r="A3" s="4" t="s">
        <v>103</v>
      </c>
      <c r="B3" s="4" t="s">
        <v>100</v>
      </c>
      <c r="C3" s="4" t="s">
        <v>104</v>
      </c>
      <c r="D3" s="4" t="s">
        <v>77</v>
      </c>
      <c r="E3" s="4" t="s">
        <v>102</v>
      </c>
    </row>
    <row r="4" customFormat="false" ht="23.25" hidden="false" customHeight="true" outlineLevel="0" collapsed="false">
      <c r="A4" s="4" t="s">
        <v>105</v>
      </c>
      <c r="B4" s="4" t="s">
        <v>106</v>
      </c>
      <c r="C4" s="4" t="s">
        <v>107</v>
      </c>
      <c r="D4" s="4" t="s">
        <v>90</v>
      </c>
      <c r="E4" s="4" t="s">
        <v>108</v>
      </c>
    </row>
    <row r="5" customFormat="false" ht="23.25" hidden="false" customHeight="true" outlineLevel="0" collapsed="false">
      <c r="A5" s="4" t="s">
        <v>109</v>
      </c>
      <c r="B5" s="4" t="s">
        <v>100</v>
      </c>
      <c r="C5" s="4" t="s">
        <v>110</v>
      </c>
      <c r="D5" s="4" t="s">
        <v>81</v>
      </c>
      <c r="E5" s="4" t="s">
        <v>111</v>
      </c>
    </row>
    <row r="6" customFormat="false" ht="23.25" hidden="false" customHeight="true" outlineLevel="0" collapsed="false">
      <c r="A6" s="4" t="s">
        <v>112</v>
      </c>
      <c r="B6" s="4" t="s">
        <v>113</v>
      </c>
      <c r="C6" s="4" t="s">
        <v>114</v>
      </c>
      <c r="D6" s="4" t="s">
        <v>81</v>
      </c>
      <c r="E6" s="4" t="s">
        <v>111</v>
      </c>
    </row>
  </sheetData>
  <autoFilter ref="A1:E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2026-04-04T18:20:27Z</dcterms:created>
  <dc:creator>openpyxl</dc:creator>
  <dc:description/>
  <dc:language>en-US</dc:language>
  <cp:lastModifiedBy/>
  <dcterms:modified xsi:type="dcterms:W3CDTF">2026-04-04T18:20:41Z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