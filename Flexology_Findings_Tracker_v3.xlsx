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Findings" sheetId="1" state="visible" r:id="rId3"/>
    <sheet name="Test Cases" sheetId="2" state="visible" r:id="rId4"/>
    <sheet name="Summary Dashboard" sheetId="3" state="visible" r:id="rId5"/>
    <sheet name="Quick Wi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<sst xmlns="http://schemas.openxmlformats.org/spreadsheetml/2006/main" count="982" uniqueCount="467">
  <si>
    <t xml:space="preserve">ID</t>
  </si>
  <si>
    <t xml:space="preserve">Area</t>
  </si>
  <si>
    <t xml:space="preserve">Category</t>
  </si>
  <si>
    <t xml:space="preserve">Title</t>
  </si>
  <si>
    <t xml:space="preserve">Description</t>
  </si>
  <si>
    <t xml:space="preserve">Severity</t>
  </si>
  <si>
    <t xml:space="preserve">v2 Status</t>
  </si>
  <si>
    <t xml:space="preserve">Impact</t>
  </si>
  <si>
    <t xml:space="preserve">Effort</t>
  </si>
  <si>
    <t xml:space="preserve">Priority</t>
  </si>
  <si>
    <t xml:space="preserve">Status</t>
  </si>
  <si>
    <t xml:space="preserve">Recommendation</t>
  </si>
  <si>
    <t xml:space="preserve">V3-001</t>
  </si>
  <si>
    <t xml:space="preserve">All</t>
  </si>
  <si>
    <t xml:space="preserve">Performance</t>
  </si>
  <si>
    <t xml:space="preserve">FCP 13-15s across all pages (7x above target)</t>
  </si>
  <si>
    <t xml:space="preserve">Critical rendering path issue affecting all pages with FCP of 13-15 seconds</t>
  </si>
  <si>
    <t xml:space="preserve">Critical</t>
  </si>
  <si>
    <t xml:space="preserve">Open (worse)</t>
  </si>
  <si>
    <t xml:space="preserve">Significant</t>
  </si>
  <si>
    <t xml:space="preserve">P1</t>
  </si>
  <si>
    <t xml:space="preserve">Profile critical rendering path, defer render-blocking JS, implement SSR/SSG, code-split with next/dynamic. Target FCP &lt; 1,800ms.</t>
  </si>
  <si>
    <t xml:space="preserve">V3-002</t>
  </si>
  <si>
    <t xml:space="preserve">Consumer</t>
  </si>
  <si>
    <t xml:space="preserve">Homepage TTFB regression 4,339ms (was 309ms)</t>
  </si>
  <si>
    <t xml:space="preserve">Homepage time-to-first-byte increased 14x from 309ms to 4,339ms</t>
  </si>
  <si>
    <t xml:space="preserve">New</t>
  </si>
  <si>
    <t xml:space="preserve">Moderate</t>
  </si>
  <si>
    <t xml:space="preserve">Investigate homepage serverless function cold starts, add edge caching, check if homepage data fetching is causing delay.</t>
  </si>
  <si>
    <t xml:space="preserve">V3-003</t>
  </si>
  <si>
    <t xml:space="preserve">POS</t>
  </si>
  <si>
    <t xml:space="preserve">Functional</t>
  </si>
  <si>
    <t xml:space="preserve">POS system does not exist (/pos returns 404)</t>
  </si>
  <si>
    <t xml:space="preserve">POS endpoint returns 404, system not deployed</t>
  </si>
  <si>
    <t xml:space="preserve">Major</t>
  </si>
  <si>
    <t xml:space="preserve">Build and deploy POS module, or remove from launch scope.</t>
  </si>
  <si>
    <t xml:space="preserve">V3-004</t>
  </si>
  <si>
    <t xml:space="preserve">Security</t>
  </si>
  <si>
    <t xml:space="preserve">Five security headers missing (CSP, X-Frame, etc.)</t>
  </si>
  <si>
    <t xml:space="preserve">CSP, X-Frame-Options, X-Content-Type-Options, HSTS headers not configured</t>
  </si>
  <si>
    <t xml:space="preserve">Open</t>
  </si>
  <si>
    <t xml:space="preserve">Quick Win</t>
  </si>
  <si>
    <t xml:space="preserve">Add security headers via Next.js middleware or vercel.json headers config.</t>
  </si>
  <si>
    <t xml:space="preserve">V3-005</t>
  </si>
  <si>
    <t xml:space="preserve">Tech stack exposed via Server/X-Powered-By headers</t>
  </si>
  <si>
    <t xml:space="preserve">Server and X-Powered-By headers reveal tech stack information</t>
  </si>
  <si>
    <t xml:space="preserve">High</t>
  </si>
  <si>
    <t xml:space="preserve">Configure Vercel to suppress Server header, remove X-Powered-By in next.config.js with poweredByHeader: false.</t>
  </si>
  <si>
    <t xml:space="preserve">V3-006</t>
  </si>
  <si>
    <t xml:space="preserve">Admin</t>
  </si>
  <si>
    <t xml:space="preserve">Admin credentials trivially guessable (0000/admin)</t>
  </si>
  <si>
    <t xml:space="preserve">Default credentials easily guessable, no rate limiting observed</t>
  </si>
  <si>
    <t xml:space="preserve">Change to strong credentials, implement rate limiting, add MFA for admin.</t>
  </si>
  <si>
    <t xml:space="preserve">V3-007</t>
  </si>
  <si>
    <t xml:space="preserve">SEE ALL link on homepage non-functional</t>
  </si>
  <si>
    <t xml:space="preserve">Link on homepage does not navigate or respond to clicks</t>
  </si>
  <si>
    <t xml:space="preserve">P2</t>
  </si>
  <si>
    <t xml:space="preserve">Add proper href or onClick handler to "SEE ALL" link targeting /services page.</t>
  </si>
  <si>
    <t xml:space="preserve">V3-008</t>
  </si>
  <si>
    <t xml:space="preserve">Admin sidebar navigation broken (click does nothing)</t>
  </si>
  <si>
    <t xml:space="preserve">Sidebar links in admin do not navigate</t>
  </si>
  <si>
    <t xml:space="preserve">Debug client-side router on admin sidebar — likely Next.js Link component issue or event handler conflict.</t>
  </si>
  <si>
    <t xml:space="preserve">V3-009</t>
  </si>
  <si>
    <t xml:space="preserve">UX</t>
  </si>
  <si>
    <t xml:space="preserve">Naming mismatches across 3 admin pages</t>
  </si>
  <si>
    <t xml:space="preserve">Sidebar labels don't match page titles</t>
  </si>
  <si>
    <t xml:space="preserve">Medium</t>
  </si>
  <si>
    <t xml:space="preserve">Align sidebar labels with page titles across all admin pages.</t>
  </si>
  <si>
    <t xml:space="preserve">V3-010</t>
  </si>
  <si>
    <t xml:space="preserve">Operations Pipeline "No grid columns available"</t>
  </si>
  <si>
    <t xml:space="preserve">Grid in Operations Pipeline shows no staff columns</t>
  </si>
  <si>
    <t xml:space="preserve">Configure grid columns to show assigned staff/therapists.</t>
  </si>
  <si>
    <t xml:space="preserve">V3-011</t>
  </si>
  <si>
    <t xml:space="preserve">Data</t>
  </si>
  <si>
    <t xml:space="preserve">Revenue mismatch (Rp 0 vs Rp 875K in leaderboard)</t>
  </si>
  <si>
    <t xml:space="preserve">Dashboard shows different revenue totals than leaderboard</t>
  </si>
  <si>
    <t xml:space="preserve">Debug revenue aggregation query — ensure settled bookings are included in gross revenue calculation.</t>
  </si>
  <si>
    <t xml:space="preserve">V3-012</t>
  </si>
  <si>
    <t xml:space="preserve">Currency format inconsistency (3 different formats)</t>
  </si>
  <si>
    <t xml:space="preserve">Currency displays in 3 different formats across application</t>
  </si>
  <si>
    <t xml:space="preserve">Standardize all currency to "Rp XXX.XXX" format with period separators (Indonesian standard).</t>
  </si>
  <si>
    <t xml:space="preserve">V3-013</t>
  </si>
  <si>
    <t xml:space="preserve">/services has no dedicated page (redirects to home)</t>
  </si>
  <si>
    <t xml:space="preserve">Services page missing, redirect loops to homepage</t>
  </si>
  <si>
    <t xml:space="preserve">Partial fix</t>
  </si>
  <si>
    <t xml:space="preserve">Create dedicated /services page with full service catalog listing.</t>
  </si>
  <si>
    <t xml:space="preserve">V3-014</t>
  </si>
  <si>
    <t xml:space="preserve">Therapist name "indra" not capitalized</t>
  </si>
  <si>
    <t xml:space="preserve">Staff name appears as lowercase in registry</t>
  </si>
  <si>
    <t xml:space="preserve">Low</t>
  </si>
  <si>
    <t xml:space="preserve">P3</t>
  </si>
  <si>
    <t xml:space="preserve">Capitalize "indra" to "Indra" in database.</t>
  </si>
  <si>
    <t xml:space="preserve">V3-015</t>
  </si>
  <si>
    <t xml:space="preserve">Staff form pre-filled with "Sarah Jenkins" data</t>
  </si>
  <si>
    <t xml:space="preserve">New staff form contains placeholder data on load</t>
  </si>
  <si>
    <t xml:space="preserve">Clear placeholder values in new staff form on component mount.</t>
  </si>
  <si>
    <t xml:space="preserve">V3-016</t>
  </si>
  <si>
    <t xml:space="preserve">Contact details hidden behind Confirm Booking button</t>
  </si>
  <si>
    <t xml:space="preserve">Contact information not visible until after confirmation</t>
  </si>
  <si>
    <t xml:space="preserve">Move Confirm Booking button below Contact Details, or make page scrollable.</t>
  </si>
  <si>
    <t xml:space="preserve">V3-017</t>
  </si>
  <si>
    <t xml:space="preserve">Time format inconsistency (periods vs colons)</t>
  </si>
  <si>
    <t xml:space="preserve">Time displays with periods and colons across admin pages</t>
  </si>
  <si>
    <t xml:space="preserve">Standardize time format to colons (09:00) across all admin pages.</t>
  </si>
  <si>
    <t xml:space="preserve">V3-018</t>
  </si>
  <si>
    <t xml:space="preserve">Credit card rate uses comma decimal (0,02)</t>
  </si>
  <si>
    <t xml:space="preserve">Payment rate format uses comma instead of period</t>
  </si>
  <si>
    <t xml:space="preserve">Use period decimal (0.02) consistent with international standard.</t>
  </si>
  <si>
    <t xml:space="preserve">V3-019</t>
  </si>
  <si>
    <t xml:space="preserve">Service-therapist mismatch in booking flow</t>
  </si>
  <si>
    <t xml:space="preserve">Selected service doesn't match available therapist specialties</t>
  </si>
  <si>
    <t xml:space="preserve">Filter therapist list by selected service specialty in booking flow.</t>
  </si>
  <si>
    <t xml:space="preserve">V3-020</t>
  </si>
  <si>
    <t xml:space="preserve">Pondok Indah missing from dashboard leaderboard</t>
  </si>
  <si>
    <t xml:space="preserve">Outlet not shown in performance leaderboard</t>
  </si>
  <si>
    <t xml:space="preserve">Include all outlets (including Pondok Indah) in leaderboard query.</t>
  </si>
  <si>
    <t xml:space="preserve">V3-021</t>
  </si>
  <si>
    <t xml:space="preserve">Staff assignment inconsistency (location vs dispatch)</t>
  </si>
  <si>
    <t xml:space="preserve">Staff outlet assignment conflicts with dispatch assignment</t>
  </si>
  <si>
    <t xml:space="preserve">Reconcile staff assigned outlet vs dispatch status.</t>
  </si>
  <si>
    <t xml:space="preserve">V3-022</t>
  </si>
  <si>
    <t xml:space="preserve">"24 people looking" possibly hardcoded scarcity</t>
  </si>
  <si>
    <t xml:space="preserve">Scarcity indicator may not reflect real-time data</t>
  </si>
  <si>
    <t xml:space="preserve">P4</t>
  </si>
  <si>
    <t xml:space="preserve">Make scarcity indicator dynamic based on real-time data, or remove.</t>
  </si>
  <si>
    <t xml:space="preserve">V3-023</t>
  </si>
  <si>
    <t xml:space="preserve">No responsive desktop layout (mobile-only)</t>
  </si>
  <si>
    <t xml:space="preserve">Application only responsive to mobile sizes</t>
  </si>
  <si>
    <t xml:space="preserve">Add responsive desktop layout with max-width container for desktop viewports.</t>
  </si>
  <si>
    <t xml:space="preserve">V3-024</t>
  </si>
  <si>
    <t xml:space="preserve">Login field "MOBILE NUMBER" accepts admin code</t>
  </si>
  <si>
    <t xml:space="preserve">Login field label suggests mobile but accepts admin credentials</t>
  </si>
  <si>
    <t xml:space="preserve">Create separate admin login flow or relabel field to "ID / Mobile Number".</t>
  </si>
  <si>
    <t xml:space="preserve">V3-025</t>
  </si>
  <si>
    <t xml:space="preserve">Custom 404 page text generic/unprofessional</t>
  </si>
  <si>
    <t xml:space="preserve">404 error page lacks branding and helpful navigation</t>
  </si>
  <si>
    <t xml:space="preserve">Customize 404 page with Flexology branding and helpful navigation.</t>
  </si>
  <si>
    <t xml:space="preserve">TC-ID</t>
  </si>
  <si>
    <t xml:space="preserve">Module</t>
  </si>
  <si>
    <t xml:space="preserve">Type</t>
  </si>
  <si>
    <t xml:space="preserve">Preconditions</t>
  </si>
  <si>
    <t xml:space="preserve">Test Data</t>
  </si>
  <si>
    <t xml:space="preserve">Steps</t>
  </si>
  <si>
    <t xml:space="preserve">Expected Result</t>
  </si>
  <si>
    <t xml:space="preserve">TC-USER-001</t>
  </si>
  <si>
    <t xml:space="preserve">Homepage loads within 2.5s FCP</t>
  </si>
  <si>
    <t xml:space="preserve">Clean browser cache</t>
  </si>
  <si>
    <t xml:space="preserve">N/A</t>
  </si>
  <si>
    <t xml:space="preserve">1. Navigate to homepage
2. Measure FCP using DevTools</t>
  </si>
  <si>
    <t xml:space="preserve">FCP &lt; 2,500ms</t>
  </si>
  <si>
    <t xml:space="preserve">TC-USER-002</t>
  </si>
  <si>
    <t xml:space="preserve">Homepage TTFB under 800ms</t>
  </si>
  <si>
    <t xml:space="preserve">Network monitoring enabled</t>
  </si>
  <si>
    <t xml:space="preserve">1. Navigate to homepage
2. Measure TTFB in DevTools</t>
  </si>
  <si>
    <t xml:space="preserve">TTFB &lt; 800ms</t>
  </si>
  <si>
    <t xml:space="preserve">TC-USER-003</t>
  </si>
  <si>
    <t xml:space="preserve">BOOK A SESSION button navigates to /book</t>
  </si>
  <si>
    <t xml:space="preserve">Positive</t>
  </si>
  <si>
    <t xml:space="preserve">Homepage loaded</t>
  </si>
  <si>
    <t xml:space="preserve">1. Click BOOK A SESSION button</t>
  </si>
  <si>
    <t xml:space="preserve">Navigate to /book page</t>
  </si>
  <si>
    <t xml:space="preserve">TC-USER-004</t>
  </si>
  <si>
    <t xml:space="preserve">SEE ALL link navigates to services listing</t>
  </si>
  <si>
    <t xml:space="preserve">1. Click SEE ALL link</t>
  </si>
  <si>
    <t xml:space="preserve">Navigate to /services page with service list</t>
  </si>
  <si>
    <t xml:space="preserve">TC-USER-005</t>
  </si>
  <si>
    <t xml:space="preserve">Featured Services display with correct pricing</t>
  </si>
  <si>
    <t xml:space="preserve">1. View featured services on homepage</t>
  </si>
  <si>
    <t xml:space="preserve">Services display with pricing in Rp format</t>
  </si>
  <si>
    <t xml:space="preserve">TC-USER-006</t>
  </si>
  <si>
    <t xml:space="preserve">Login with valid mobile number and password</t>
  </si>
  <si>
    <t xml:space="preserve">Login page loaded</t>
  </si>
  <si>
    <t xml:space="preserve">Mobile: +628123456789, Password: ValidPass123</t>
  </si>
  <si>
    <t xml:space="preserve">1. Enter mobile and password
2. Click Login</t>
  </si>
  <si>
    <t xml:space="preserve">Redirect to booking page, user logged in</t>
  </si>
  <si>
    <t xml:space="preserve">TC-USER-007</t>
  </si>
  <si>
    <t xml:space="preserve">Login with invalid credentials shows error</t>
  </si>
  <si>
    <t xml:space="preserve">Negative</t>
  </si>
  <si>
    <t xml:space="preserve">Mobile: +629999999999, Password: WrongPass</t>
  </si>
  <si>
    <t xml:space="preserve">Display error message, remain on login page</t>
  </si>
  <si>
    <t xml:space="preserve">TC-USER-008</t>
  </si>
  <si>
    <t xml:space="preserve">Booking flow Step 1 — Select In Studio shows outlets</t>
  </si>
  <si>
    <t xml:space="preserve">Booking page loaded</t>
  </si>
  <si>
    <t xml:space="preserve">1. Click In Studio option
2. View outlet selection</t>
  </si>
  <si>
    <t xml:space="preserve">Show Dash Padel and Pondok Indah outlets</t>
  </si>
  <si>
    <t xml:space="preserve">TC-USER-009</t>
  </si>
  <si>
    <t xml:space="preserve">Booking flow Step 1 — Select At-Home Service</t>
  </si>
  <si>
    <t xml:space="preserve">1. Click At-Home Service option</t>
  </si>
  <si>
    <t xml:space="preserve">Service options load without outlet selection</t>
  </si>
  <si>
    <t xml:space="preserve">TC-USER-010</t>
  </si>
  <si>
    <t xml:space="preserve">Booking flow — Select Dash Padel outlet shows services</t>
  </si>
  <si>
    <t xml:space="preserve">Outlet selection page loaded</t>
  </si>
  <si>
    <t xml:space="preserve">1. Select Dash Padel outlet</t>
  </si>
  <si>
    <t xml:space="preserve">Display services available at Dash Padel</t>
  </si>
  <si>
    <t xml:space="preserve">TC-USER-011</t>
  </si>
  <si>
    <t xml:space="preserve">Booking flow — Select Pondok Indah outlet shows services</t>
  </si>
  <si>
    <t xml:space="preserve">1. Select Pondok Indah outlet</t>
  </si>
  <si>
    <t xml:space="preserve">Display services available at Pondok Indah</t>
  </si>
  <si>
    <t xml:space="preserve">TC-USER-012</t>
  </si>
  <si>
    <t xml:space="preserve">Booking flow — Service selection shows price and duration</t>
  </si>
  <si>
    <t xml:space="preserve">Service selection page loaded</t>
  </si>
  <si>
    <t xml:space="preserve">1. Select a service</t>
  </si>
  <si>
    <t xml:space="preserve">Show price in Rp format and duration in minutes</t>
  </si>
  <si>
    <t xml:space="preserve">TC-USER-013</t>
  </si>
  <si>
    <t xml:space="preserve">Booking flow — Time slot selection shows available slots</t>
  </si>
  <si>
    <t xml:space="preserve">Service selected</t>
  </si>
  <si>
    <t xml:space="preserve">1. View time slot selection</t>
  </si>
  <si>
    <t xml:space="preserve">Show available time slots for selected date</t>
  </si>
  <si>
    <t xml:space="preserve">TC-USER-014</t>
  </si>
  <si>
    <t xml:space="preserve">Booking flow — Therapist selection shows available therapists</t>
  </si>
  <si>
    <t xml:space="preserve">Time slot selected</t>
  </si>
  <si>
    <t xml:space="preserve">1. View therapist selection</t>
  </si>
  <si>
    <t xml:space="preserve">Show available therapists with specialties matching service</t>
  </si>
  <si>
    <t xml:space="preserve">TC-USER-015</t>
  </si>
  <si>
    <t xml:space="preserve">Booking flow — Summary shows correct service, time, outlet, price</t>
  </si>
  <si>
    <t xml:space="preserve">Therapist selected</t>
  </si>
  <si>
    <t xml:space="preserve">1. View booking summary</t>
  </si>
  <si>
    <t xml:space="preserve">Summary displays all selected details accurately</t>
  </si>
  <si>
    <t xml:space="preserve">TC-USER-016</t>
  </si>
  <si>
    <t xml:space="preserve">Booking flow — Contact details visible before confirmation</t>
  </si>
  <si>
    <t xml:space="preserve">Booking summary page loaded</t>
  </si>
  <si>
    <t xml:space="preserve">1. Scroll to view contact details
2. Verify visibility</t>
  </si>
  <si>
    <t xml:space="preserve">Contact details visible without clicking Confirm</t>
  </si>
  <si>
    <t xml:space="preserve">TC-USER-017</t>
  </si>
  <si>
    <t xml:space="preserve">Currency format uses Rp with period separators throughout</t>
  </si>
  <si>
    <t xml:space="preserve">Multiple pages visited</t>
  </si>
  <si>
    <t xml:space="preserve">1. Navigate through booking flow
2. Check all prices</t>
  </si>
  <si>
    <t xml:space="preserve">All prices use Rp XXX.XXX format</t>
  </si>
  <si>
    <t xml:space="preserve">TC-USER-018</t>
  </si>
  <si>
    <t xml:space="preserve">/services page loads with full service catalog</t>
  </si>
  <si>
    <t xml:space="preserve">1. Navigate to /services</t>
  </si>
  <si>
    <t xml:space="preserve">Page loads with complete service list and descriptions</t>
  </si>
  <si>
    <t xml:space="preserve">TC-USER-019</t>
  </si>
  <si>
    <t xml:space="preserve">24 people looking indicator reflects real data</t>
  </si>
  <si>
    <t xml:space="preserve">Homepage loaded, bookings active</t>
  </si>
  <si>
    <t xml:space="preserve">1. Check scarcity indicator
2. Verify against backend count</t>
  </si>
  <si>
    <t xml:space="preserve">Indicator shows real-time or accurate data</t>
  </si>
  <si>
    <t xml:space="preserve">TC-USER-020</t>
  </si>
  <si>
    <t xml:space="preserve">App renders properly on desktop viewport</t>
  </si>
  <si>
    <t xml:space="preserve">Desktop viewport (1920x1080)</t>
  </si>
  <si>
    <t xml:space="preserve">1. Open app on desktop
2. Verify layout</t>
  </si>
  <si>
    <t xml:space="preserve">App displays correctly without mobile-only styling</t>
  </si>
  <si>
    <t xml:space="preserve">TC-ADMIN-001</t>
  </si>
  <si>
    <t xml:space="preserve">Admin login with 0000/admin redirects to /admin</t>
  </si>
  <si>
    <t xml:space="preserve">Admin login page loaded</t>
  </si>
  <si>
    <t xml:space="preserve">Username: 0000, Password: admin</t>
  </si>
  <si>
    <t xml:space="preserve">1. Enter credentials
2. Click Login</t>
  </si>
  <si>
    <t xml:space="preserve">Redirect to /admin dashboard</t>
  </si>
  <si>
    <t xml:space="preserve">TC-ADMIN-002</t>
  </si>
  <si>
    <t xml:space="preserve">Unauthenticated /admin access redirects to homepage</t>
  </si>
  <si>
    <t xml:space="preserve">Not logged in</t>
  </si>
  <si>
    <t xml:space="preserve">1. Navigate directly to /admin</t>
  </si>
  <si>
    <t xml:space="preserve">Redirect to homepage</t>
  </si>
  <si>
    <t xml:space="preserve">TC-ADMIN-003</t>
  </si>
  <si>
    <t xml:space="preserve">Dashboard Gross Settled Revenue matches leaderboard total</t>
  </si>
  <si>
    <t xml:space="preserve">Admin dashboard loaded</t>
  </si>
  <si>
    <t xml:space="preserve">1. Note Gross Revenue on dashboard
2. Check leaderboard total
3. Compare</t>
  </si>
  <si>
    <t xml:space="preserve">Both values match exactly</t>
  </si>
  <si>
    <t xml:space="preserve">TC-ADMIN-004</t>
  </si>
  <si>
    <t xml:space="preserve">Dashboard Total Lifetime Bookings count is accurate</t>
  </si>
  <si>
    <t xml:space="preserve">1. Note Total Bookings
2. Verify against database</t>
  </si>
  <si>
    <t xml:space="preserve">Count matches actual bookings</t>
  </si>
  <si>
    <t xml:space="preserve">TC-ADMIN-005</t>
  </si>
  <si>
    <t xml:space="preserve">Dashboard Confirmed Sessions count is accurate</t>
  </si>
  <si>
    <t xml:space="preserve">1. Note Confirmed Sessions
2. Query confirmed status bookings</t>
  </si>
  <si>
    <t xml:space="preserve">Count matches confirmed bookings</t>
  </si>
  <si>
    <t xml:space="preserve">TC-ADMIN-006</t>
  </si>
  <si>
    <t xml:space="preserve">Outlet Performance Leaderboard shows ALL outlets</t>
  </si>
  <si>
    <t xml:space="preserve">Leaderboard page loaded</t>
  </si>
  <si>
    <t xml:space="preserve">1. View leaderboard table</t>
  </si>
  <si>
    <t xml:space="preserve">All outlets (Dash Padel, Pondok Indah) visible</t>
  </si>
  <si>
    <t xml:space="preserve">TC-ADMIN-007</t>
  </si>
  <si>
    <t xml:space="preserve">Sidebar Bookings Pipeline click navigates to schedule</t>
  </si>
  <si>
    <t xml:space="preserve">1. Click Bookings Pipeline in sidebar</t>
  </si>
  <si>
    <t xml:space="preserve">Navigate to Operations Pipeline page</t>
  </si>
  <si>
    <t xml:space="preserve">TC-ADMIN-008</t>
  </si>
  <si>
    <t xml:space="preserve">Sidebar Staff Registry click navigates to staff</t>
  </si>
  <si>
    <t xml:space="preserve">1. Click Staff Registry in sidebar</t>
  </si>
  <si>
    <t xml:space="preserve">Navigate to staff management page</t>
  </si>
  <si>
    <t xml:space="preserve">TC-ADMIN-009</t>
  </si>
  <si>
    <t xml:space="preserve">Sidebar Outlets &amp; Managers click navigates to outlets</t>
  </si>
  <si>
    <t xml:space="preserve">1. Click Outlets &amp; Managers in sidebar</t>
  </si>
  <si>
    <t xml:space="preserve">Navigate to outlets page</t>
  </si>
  <si>
    <t xml:space="preserve">TC-ADMIN-010</t>
  </si>
  <si>
    <t xml:space="preserve">Sidebar System Variables click navigates to settings</t>
  </si>
  <si>
    <t xml:space="preserve">1. Click System Variables in sidebar</t>
  </si>
  <si>
    <t xml:space="preserve">Navigate to settings/variables page</t>
  </si>
  <si>
    <t xml:space="preserve">TC-ADMIN-011</t>
  </si>
  <si>
    <t xml:space="preserve">Page titles match sidebar labels</t>
  </si>
  <si>
    <t xml:space="preserve">All admin pages visited</t>
  </si>
  <si>
    <t xml:space="preserve">1. Visit each admin section
2. Compare title with sidebar label</t>
  </si>
  <si>
    <t xml:space="preserve">All titles match labels exactly</t>
  </si>
  <si>
    <t xml:space="preserve">TC-ADMIN-012</t>
  </si>
  <si>
    <t xml:space="preserve">Operations Pipeline shows staff columns in grid</t>
  </si>
  <si>
    <t xml:space="preserve">Operations Pipeline page loaded</t>
  </si>
  <si>
    <t xml:space="preserve">1. View pipeline grid</t>
  </si>
  <si>
    <t xml:space="preserve">Grid displays staff/therapist columns with data</t>
  </si>
  <si>
    <t xml:space="preserve">TC-ADMIN-013</t>
  </si>
  <si>
    <t xml:space="preserve">Operations Pipeline displays bookings correctly</t>
  </si>
  <si>
    <t xml:space="preserve">1. View pipeline bookings</t>
  </si>
  <si>
    <t xml:space="preserve">All confirmed and pending bookings display</t>
  </si>
  <si>
    <t xml:space="preserve">TC-ADMIN-014</t>
  </si>
  <si>
    <t xml:space="preserve">Staff Registry — Add new therapist with valid data</t>
  </si>
  <si>
    <t xml:space="preserve">Staff Registry page loaded, form empty</t>
  </si>
  <si>
    <t xml:space="preserve">Name: John Doe, Phone: 081234567890, Specialty: Massage</t>
  </si>
  <si>
    <t xml:space="preserve">1. Fill form with valid data
2. Click Save</t>
  </si>
  <si>
    <t xml:space="preserve">Therapist added and appears in registry</t>
  </si>
  <si>
    <t xml:space="preserve">TC-ADMIN-015</t>
  </si>
  <si>
    <t xml:space="preserve">Staff Registry — Form empty on load (no placeholder data)</t>
  </si>
  <si>
    <t xml:space="preserve">Staff Registry page loaded</t>
  </si>
  <si>
    <t xml:space="preserve">1. Open add staff form</t>
  </si>
  <si>
    <t xml:space="preserve">Form fields are empty, no placeholder values</t>
  </si>
  <si>
    <t xml:space="preserve">TC-ADMIN-016</t>
  </si>
  <si>
    <t xml:space="preserve">Staff Registry — Therapist names properly capitalized</t>
  </si>
  <si>
    <t xml:space="preserve">1. View staff list</t>
  </si>
  <si>
    <t xml:space="preserve">All names properly capitalized (e.g., Indra not indra)</t>
  </si>
  <si>
    <t xml:space="preserve">TC-ADMIN-017</t>
  </si>
  <si>
    <t xml:space="preserve">Outlets — Both outlets show as Active</t>
  </si>
  <si>
    <t xml:space="preserve">Outlets page loaded</t>
  </si>
  <si>
    <t xml:space="preserve">1. View outlets list</t>
  </si>
  <si>
    <t xml:space="preserve">Dash Padel and Pondok Indah both marked Active</t>
  </si>
  <si>
    <t xml:space="preserve">TC-ADMIN-018</t>
  </si>
  <si>
    <t xml:space="preserve">Outlets — VIEW ON MAPS links open Google Maps</t>
  </si>
  <si>
    <t xml:space="preserve">1. Click VIEW ON MAPS link</t>
  </si>
  <si>
    <t xml:space="preserve">Open Google Maps with outlet location</t>
  </si>
  <si>
    <t xml:space="preserve">TC-ADMIN-019</t>
  </si>
  <si>
    <t xml:space="preserve">Outlets — Add new outlet with valid data</t>
  </si>
  <si>
    <t xml:space="preserve">Name: New Outlet, Address: Jakarta, Phone: 081234567890</t>
  </si>
  <si>
    <t xml:space="preserve">1. Fill outlet form
2. Click Save</t>
  </si>
  <si>
    <t xml:space="preserve">Outlet added to list</t>
  </si>
  <si>
    <t xml:space="preserve">TC-ADMIN-020</t>
  </si>
  <si>
    <t xml:space="preserve">System Variables — Save Registration Bonus updates value</t>
  </si>
  <si>
    <t xml:space="preserve">System Variables page loaded</t>
  </si>
  <si>
    <t xml:space="preserve">New value: Rp 100.000</t>
  </si>
  <si>
    <t xml:space="preserve">1. Change Registration Bonus value
2. Click Save</t>
  </si>
  <si>
    <t xml:space="preserve">Value updated and persisted</t>
  </si>
  <si>
    <t xml:space="preserve">TC-ADMIN-021</t>
  </si>
  <si>
    <t xml:space="preserve">System Variables — Payment fees display correctly</t>
  </si>
  <si>
    <t xml:space="preserve">1. View payment fees section</t>
  </si>
  <si>
    <t xml:space="preserve">All fees display with proper Rp format</t>
  </si>
  <si>
    <t xml:space="preserve">TC-ADMIN-022</t>
  </si>
  <si>
    <t xml:space="preserve">System Variables — Credit card rate uses proper decimal</t>
  </si>
  <si>
    <t xml:space="preserve">1. View credit card fee
2. Check decimal format</t>
  </si>
  <si>
    <t xml:space="preserve">Rate shows 0.02 not 0,02</t>
  </si>
  <si>
    <t xml:space="preserve">TC-ADMIN-023</t>
  </si>
  <si>
    <t xml:space="preserve">Admin FCP under 2,500ms</t>
  </si>
  <si>
    <t xml:space="preserve">Admin dashboard loaded, cache cleared</t>
  </si>
  <si>
    <t xml:space="preserve">1. Measure FCP in DevTools</t>
  </si>
  <si>
    <t xml:space="preserve">TC-ADMIN-024</t>
  </si>
  <si>
    <t xml:space="preserve">Currency format consistent across all admin pages</t>
  </si>
  <si>
    <t xml:space="preserve">1. Navigate through admin
2. Check all currency values</t>
  </si>
  <si>
    <t xml:space="preserve">All use Rp XXX.XXX format</t>
  </si>
  <si>
    <t xml:space="preserve">TC-ADMIN-025</t>
  </si>
  <si>
    <t xml:space="preserve">Time format consistent across all admin pages (colons)</t>
  </si>
  <si>
    <t xml:space="preserve">1. Navigate through admin
2. Check all time values</t>
  </si>
  <si>
    <t xml:space="preserve">All use HH:MM format (e.g., 09:00)</t>
  </si>
  <si>
    <t xml:space="preserve">TC-ADMIN-026</t>
  </si>
  <si>
    <t xml:space="preserve">Admin auth — rate limiting after failed login attempts</t>
  </si>
  <si>
    <t xml:space="preserve">Admin login page</t>
  </si>
  <si>
    <t xml:space="preserve">Invalid credentials</t>
  </si>
  <si>
    <t xml:space="preserve">1. Enter invalid creds 5+ times
2. Attempt login again</t>
  </si>
  <si>
    <t xml:space="preserve">Account locked or rate limited</t>
  </si>
  <si>
    <t xml:space="preserve">TC-ADMIN-027</t>
  </si>
  <si>
    <t xml:space="preserve">Admin auth — strong password enforcement</t>
  </si>
  <si>
    <t xml:space="preserve">Admin user creation context</t>
  </si>
  <si>
    <t xml:space="preserve">Password: weak123</t>
  </si>
  <si>
    <t xml:space="preserve">1. Attempt to set weak password</t>
  </si>
  <si>
    <t xml:space="preserve">Reject password, show strength requirements</t>
  </si>
  <si>
    <t xml:space="preserve">TC-ADMIN-028</t>
  </si>
  <si>
    <t xml:space="preserve">Sign Out button logs out and redirects</t>
  </si>
  <si>
    <t xml:space="preserve">Admin logged in</t>
  </si>
  <si>
    <t xml:space="preserve">1. Click Sign Out button</t>
  </si>
  <si>
    <t xml:space="preserve">Clear session, redirect to homepage</t>
  </si>
  <si>
    <t xml:space="preserve">TC-ADMIN-029</t>
  </si>
  <si>
    <t xml:space="preserve">Client Facing Shell link navigates to homepage</t>
  </si>
  <si>
    <t xml:space="preserve">1. Click Client Facing Shell link</t>
  </si>
  <si>
    <t xml:space="preserve">Navigate to homepage</t>
  </si>
  <si>
    <t xml:space="preserve">TC-ADMIN-030</t>
  </si>
  <si>
    <t xml:space="preserve">Admin pages load without console errors</t>
  </si>
  <si>
    <t xml:space="preserve">Admin pages loaded</t>
  </si>
  <si>
    <t xml:space="preserve">1. Open DevTools Console
2. Navigate admin pages</t>
  </si>
  <si>
    <t xml:space="preserve">No errors in console</t>
  </si>
  <si>
    <t xml:space="preserve">TC-POS-001</t>
  </si>
  <si>
    <t xml:space="preserve">POS system accessible at /pos or dedicated route</t>
  </si>
  <si>
    <t xml:space="preserve">1. Navigate to /pos</t>
  </si>
  <si>
    <t xml:space="preserve">POS page loads successfully</t>
  </si>
  <si>
    <t xml:space="preserve">TC-POS-002</t>
  </si>
  <si>
    <t xml:space="preserve">POS requires authentication before access</t>
  </si>
  <si>
    <t xml:space="preserve">1. Attempt to access /pos without auth
2. Try valid auth</t>
  </si>
  <si>
    <t xml:space="preserve">Redirect to login when unauthenticated; allow access when authenticated</t>
  </si>
  <si>
    <t xml:space="preserve">TC-POS-003</t>
  </si>
  <si>
    <t xml:space="preserve">POS shows current day bookings</t>
  </si>
  <si>
    <t xml:space="preserve">POS authenticated, bookings exist</t>
  </si>
  <si>
    <t xml:space="preserve">1. Open POS dashboard
2. View bookings list</t>
  </si>
  <si>
    <t xml:space="preserve">Display all bookings for current date</t>
  </si>
  <si>
    <t xml:space="preserve">TC-POS-004</t>
  </si>
  <si>
    <t xml:space="preserve">POS allows check-in of confirmed bookings</t>
  </si>
  <si>
    <t xml:space="preserve">POS authenticated, confirmed booking exists</t>
  </si>
  <si>
    <t xml:space="preserve">Booking ID: BK-12345</t>
  </si>
  <si>
    <t xml:space="preserve">1. Select confirmed booking
2. Click Check-in</t>
  </si>
  <si>
    <t xml:space="preserve">Booking marked as checked in</t>
  </si>
  <si>
    <t xml:space="preserve">TC-POS-005</t>
  </si>
  <si>
    <t xml:space="preserve">POS processes payment for walk-in customers</t>
  </si>
  <si>
    <t xml:space="preserve">POS authenticated</t>
  </si>
  <si>
    <t xml:space="preserve">Service: Massage, Amount: Rp 500.000</t>
  </si>
  <si>
    <t xml:space="preserve">1. Register walk-in customer
2. Process payment</t>
  </si>
  <si>
    <t xml:space="preserve">Payment recorded, receipt generated</t>
  </si>
  <si>
    <t xml:space="preserve">TC-POS-006</t>
  </si>
  <si>
    <t xml:space="preserve">POS generates receipt after payment</t>
  </si>
  <si>
    <t xml:space="preserve">Payment processed</t>
  </si>
  <si>
    <t xml:space="preserve">1. Complete payment
2. View receipt</t>
  </si>
  <si>
    <t xml:space="preserve">Receipt displays transaction details</t>
  </si>
  <si>
    <t xml:space="preserve">TC-POS-007</t>
  </si>
  <si>
    <t xml:space="preserve">POS handles refund/void transactions</t>
  </si>
  <si>
    <t xml:space="preserve">Transaction recorded</t>
  </si>
  <si>
    <t xml:space="preserve">Transaction ID: TXN-98765</t>
  </si>
  <si>
    <t xml:space="preserve">1. Select transaction
2. Click Refund/Void
3. Confirm</t>
  </si>
  <si>
    <t xml:space="preserve">Transaction voided, amount credited</t>
  </si>
  <si>
    <t xml:space="preserve">TC-POS-008</t>
  </si>
  <si>
    <t xml:space="preserve">POS displays correct pricing in Rp format</t>
  </si>
  <si>
    <t xml:space="preserve">1. View prices in POS
2. Check format</t>
  </si>
  <si>
    <t xml:space="preserve">All prices display in Rp XXX.XXX format</t>
  </si>
  <si>
    <t xml:space="preserve">TC-POS-009</t>
  </si>
  <si>
    <t xml:space="preserve">POS performance — page loads under 2.5s</t>
  </si>
  <si>
    <t xml:space="preserve">1. Measure POS page load time</t>
  </si>
  <si>
    <t xml:space="preserve">TC-POS-010</t>
  </si>
  <si>
    <t xml:space="preserve">POS works on tablet/iPad viewport</t>
  </si>
  <si>
    <t xml:space="preserve">Tablet viewport (768x1024)</t>
  </si>
  <si>
    <t xml:space="preserve">1. Open POS on tablet
2. Test functionality</t>
  </si>
  <si>
    <t xml:space="preserve">POS fully functional on tablet display</t>
  </si>
  <si>
    <t xml:space="preserve">TC-SEC-001</t>
  </si>
  <si>
    <t xml:space="preserve">CSP header present in all responses</t>
  </si>
  <si>
    <t xml:space="preserve">1. Open DevTools Network tab
2. Check response headers</t>
  </si>
  <si>
    <t xml:space="preserve">Content-Security-Policy header present</t>
  </si>
  <si>
    <t xml:space="preserve">TC-SEC-002</t>
  </si>
  <si>
    <t xml:space="preserve">X-Frame-Options header present</t>
  </si>
  <si>
    <t xml:space="preserve">X-Frame-Options: DENY or SAMEORIGIN</t>
  </si>
  <si>
    <t xml:space="preserve">TC-SEC-003</t>
  </si>
  <si>
    <t xml:space="preserve">X-Content-Type-Options header present</t>
  </si>
  <si>
    <t xml:space="preserve">X-Content-Type-Options: nosniff</t>
  </si>
  <si>
    <t xml:space="preserve">TC-SEC-004</t>
  </si>
  <si>
    <t xml:space="preserve">Server/X-Powered-By headers suppressed</t>
  </si>
  <si>
    <t xml:space="preserve">1. Check response headers
2. Verify no Server or X-Powered-By</t>
  </si>
  <si>
    <t xml:space="preserve">Headers not present in responses</t>
  </si>
  <si>
    <t xml:space="preserve">TC-SEC-005</t>
  </si>
  <si>
    <t xml:space="preserve">HSTS header present with adequate max-age</t>
  </si>
  <si>
    <t xml:space="preserve">1. Check response headers
2. View HSTS max-age value</t>
  </si>
  <si>
    <t xml:space="preserve">Strict-Transport-Security present with max-age &gt;= 31536000</t>
  </si>
  <si>
    <t xml:space="preserve">Flexology v3 - QA Findings Summary</t>
  </si>
  <si>
    <t xml:space="preserve">Findings by Severity</t>
  </si>
  <si>
    <t xml:space="preserve">Findings by Area</t>
  </si>
  <si>
    <t xml:space="preserve">Findings by Category</t>
  </si>
  <si>
    <t xml:space="preserve">Count</t>
  </si>
  <si>
    <t xml:space="preserve">Total Findings</t>
  </si>
  <si>
    <t xml:space="preserve">Add security headers (CSP, X-Frame, etc.)</t>
  </si>
  <si>
    <t xml:space="preserve">Remove tech stack headers (Server, X-Powered-By)</t>
  </si>
  <si>
    <t xml:space="preserve">Fix SEE ALL link on homepage</t>
  </si>
  <si>
    <t xml:space="preserve">Fix naming mismatches in admin pages</t>
  </si>
  <si>
    <t xml:space="preserve">Capitalize therapist name Indra</t>
  </si>
  <si>
    <t xml:space="preserve">Clear staff form placeholder data</t>
  </si>
  <si>
    <t xml:space="preserve">Fix Confirm Booking button overlap</t>
  </si>
  <si>
    <t xml:space="preserve">Standardize time format to colons</t>
  </si>
  <si>
    <t xml:space="preserve">Fix decimal format in credit card rate</t>
  </si>
  <si>
    <t xml:space="preserve">Add Pondok Indah to leaderboard</t>
  </si>
  <si>
    <t xml:space="preserve">Fix scarcity indicator</t>
  </si>
  <si>
    <t xml:space="preserve">Fix login field label</t>
  </si>
  <si>
    <t xml:space="preserve">Customize 404 page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</si>
</sst>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66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4472C4"/>
        <bgColor rgb="FF366092"/>
      </patternFill>
    </fill>
    <fill>
      <patternFill patternType="solid">
        <fgColor rgb="FF366092"/>
        <bgColor rgb="FF4472C4"/>
      </patternFill>
    </fill>
    <fill>
      <patternFill patternType="solid">
        <fgColor rgb="FF70AD47"/>
        <bgColor rgb="FF99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66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70AD4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366092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dingsTable" displayName="FindingsTable" ref="A1:L26" headerRowCount="1" totalsRowCount="0" totalsRowShown="0">
  <autoFilter ref="A1:L26"/>
  <tableColumns count="12">
    <tableColumn id="1" name="ID"/>
    <tableColumn id="2" name="Area"/>
    <tableColumn id="3" name="Category"/>
    <tableColumn id="4" name="Title"/>
    <tableColumn id="5" name="Description"/>
    <tableColumn id="6" name="Severity"/>
    <tableColumn id="7" name="v2 Status"/>
    <tableColumn id="8" name="Impact"/>
    <tableColumn id="9" name="Effort"/>
    <tableColumn id="10" name="Priority"/>
    <tableColumn id="11" name="Status"/>
    <tableColumn id="12" name="Recommendation"/>
  </tableColumns>
</table>
</file>

<file path=xl/tables/table2.xml><?xml version="1.0" encoding="utf-8"?>
<table xmlns="http://schemas.openxmlformats.org/spreadsheetml/2006/main" id="2" name="QuickWinsTable" displayName="QuickWinsTable" ref="A1:E14" headerRowCount="1" totalsRowCount="0" totalsRowShown="0">
  <autoFilter ref="A1:E14"/>
  <tableColumns count="5">
    <tableColumn id="1" name="ID"/>
    <tableColumn id="2" name="Title"/>
    <tableColumn id="3" name="Severity"/>
    <tableColumn id="4" name="Area"/>
    <tableColumn id="5" name="Recommendation"/>
  </tableColumns>
</table>
</file>

<file path=xl/tables/table3.xml><?xml version="1.0" encoding="utf-8"?>
<table xmlns="http://schemas.openxmlformats.org/spreadsheetml/2006/main" id="3" name="TestCasesTable" displayName="TestCasesTable" ref="A1:J66" headerRowCount="1" totalsRowCount="0" totalsRowShown="0">
  <autoFilter ref="A1:J66"/>
  <tableColumns count="10">
    <tableColumn id="1" name="TC-ID"/>
    <tableColumn id="2" name="Module"/>
    <tableColumn id="3" name="Title"/>
    <tableColumn id="4" name="Priority"/>
    <tableColumn id="5" name="Type"/>
    <tableColumn id="6" name="Preconditions"/>
    <tableColumn id="7" name="Test Data"/>
    <tableColumn id="8" name="Steps"/>
    <tableColumn id="9" name="Expected Result"/>
    <tableColumn id="10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35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5.0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17</v>
      </c>
      <c r="I2" s="2" t="s">
        <v>19</v>
      </c>
      <c r="J2" s="2" t="s">
        <v>20</v>
      </c>
      <c r="K2" s="2"/>
      <c r="L2" s="2" t="s">
        <v>21</v>
      </c>
    </row>
    <row r="3" customFormat="false" ht="35.05" hidden="false" customHeight="false" outlineLevel="0" collapsed="false">
      <c r="A3" s="2" t="s">
        <v>22</v>
      </c>
      <c r="B3" s="2" t="s">
        <v>23</v>
      </c>
      <c r="C3" s="2" t="s">
        <v>14</v>
      </c>
      <c r="D3" s="2" t="s">
        <v>24</v>
      </c>
      <c r="E3" s="2" t="s">
        <v>25</v>
      </c>
      <c r="F3" s="2" t="s">
        <v>17</v>
      </c>
      <c r="G3" s="2" t="s">
        <v>26</v>
      </c>
      <c r="H3" s="2" t="s">
        <v>17</v>
      </c>
      <c r="I3" s="2" t="s">
        <v>27</v>
      </c>
      <c r="J3" s="2" t="s">
        <v>20</v>
      </c>
      <c r="K3" s="2"/>
      <c r="L3" s="2" t="s">
        <v>28</v>
      </c>
    </row>
    <row r="4" customFormat="false" ht="23.8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17</v>
      </c>
      <c r="G4" s="2" t="s">
        <v>26</v>
      </c>
      <c r="H4" s="2" t="s">
        <v>17</v>
      </c>
      <c r="I4" s="2" t="s">
        <v>34</v>
      </c>
      <c r="J4" s="2" t="s">
        <v>20</v>
      </c>
      <c r="K4" s="2"/>
      <c r="L4" s="2" t="s">
        <v>35</v>
      </c>
    </row>
    <row r="5" customFormat="false" ht="23.85" hidden="false" customHeight="false" outlineLevel="0" collapsed="false">
      <c r="A5" s="2" t="s">
        <v>36</v>
      </c>
      <c r="B5" s="2" t="s">
        <v>13</v>
      </c>
      <c r="C5" s="2" t="s">
        <v>37</v>
      </c>
      <c r="D5" s="2" t="s">
        <v>38</v>
      </c>
      <c r="E5" s="2" t="s">
        <v>39</v>
      </c>
      <c r="F5" s="2" t="s">
        <v>17</v>
      </c>
      <c r="G5" s="2" t="s">
        <v>40</v>
      </c>
      <c r="H5" s="2" t="s">
        <v>17</v>
      </c>
      <c r="I5" s="2" t="s">
        <v>41</v>
      </c>
      <c r="J5" s="2" t="s">
        <v>20</v>
      </c>
      <c r="K5" s="2"/>
      <c r="L5" s="2" t="s">
        <v>42</v>
      </c>
    </row>
    <row r="6" customFormat="false" ht="23.85" hidden="false" customHeight="false" outlineLevel="0" collapsed="false">
      <c r="A6" s="2" t="s">
        <v>43</v>
      </c>
      <c r="B6" s="2" t="s">
        <v>13</v>
      </c>
      <c r="C6" s="2" t="s">
        <v>37</v>
      </c>
      <c r="D6" s="2" t="s">
        <v>44</v>
      </c>
      <c r="E6" s="2" t="s">
        <v>45</v>
      </c>
      <c r="F6" s="2" t="s">
        <v>17</v>
      </c>
      <c r="G6" s="2" t="s">
        <v>40</v>
      </c>
      <c r="H6" s="2" t="s">
        <v>46</v>
      </c>
      <c r="I6" s="2" t="s">
        <v>41</v>
      </c>
      <c r="J6" s="2" t="s">
        <v>20</v>
      </c>
      <c r="K6" s="2"/>
      <c r="L6" s="2" t="s">
        <v>47</v>
      </c>
    </row>
    <row r="7" customFormat="false" ht="23.85" hidden="false" customHeight="false" outlineLevel="0" collapsed="false">
      <c r="A7" s="2" t="s">
        <v>48</v>
      </c>
      <c r="B7" s="2" t="s">
        <v>49</v>
      </c>
      <c r="C7" s="2" t="s">
        <v>37</v>
      </c>
      <c r="D7" s="2" t="s">
        <v>50</v>
      </c>
      <c r="E7" s="2" t="s">
        <v>51</v>
      </c>
      <c r="F7" s="2" t="s">
        <v>17</v>
      </c>
      <c r="G7" s="2" t="s">
        <v>40</v>
      </c>
      <c r="H7" s="2" t="s">
        <v>17</v>
      </c>
      <c r="I7" s="2" t="s">
        <v>27</v>
      </c>
      <c r="J7" s="2" t="s">
        <v>20</v>
      </c>
      <c r="K7" s="2"/>
      <c r="L7" s="2" t="s">
        <v>52</v>
      </c>
    </row>
    <row r="8" customFormat="false" ht="23.85" hidden="false" customHeight="false" outlineLevel="0" collapsed="false">
      <c r="A8" s="3" t="s">
        <v>53</v>
      </c>
      <c r="B8" s="3" t="s">
        <v>23</v>
      </c>
      <c r="C8" s="3" t="s">
        <v>31</v>
      </c>
      <c r="D8" s="3" t="s">
        <v>54</v>
      </c>
      <c r="E8" s="3" t="s">
        <v>55</v>
      </c>
      <c r="F8" s="3" t="s">
        <v>46</v>
      </c>
      <c r="G8" s="3" t="s">
        <v>26</v>
      </c>
      <c r="H8" s="3" t="s">
        <v>46</v>
      </c>
      <c r="I8" s="3" t="s">
        <v>41</v>
      </c>
      <c r="J8" s="3" t="s">
        <v>56</v>
      </c>
      <c r="K8" s="3"/>
      <c r="L8" s="3" t="s">
        <v>57</v>
      </c>
    </row>
    <row r="9" customFormat="false" ht="23.85" hidden="false" customHeight="false" outlineLevel="0" collapsed="false">
      <c r="A9" s="3" t="s">
        <v>58</v>
      </c>
      <c r="B9" s="3" t="s">
        <v>49</v>
      </c>
      <c r="C9" s="3" t="s">
        <v>31</v>
      </c>
      <c r="D9" s="3" t="s">
        <v>59</v>
      </c>
      <c r="E9" s="3" t="s">
        <v>60</v>
      </c>
      <c r="F9" s="3" t="s">
        <v>46</v>
      </c>
      <c r="G9" s="3" t="s">
        <v>26</v>
      </c>
      <c r="H9" s="3" t="s">
        <v>46</v>
      </c>
      <c r="I9" s="3" t="s">
        <v>27</v>
      </c>
      <c r="J9" s="3" t="s">
        <v>56</v>
      </c>
      <c r="K9" s="3"/>
      <c r="L9" s="3" t="s">
        <v>61</v>
      </c>
    </row>
    <row r="10" customFormat="false" ht="23.85" hidden="false" customHeight="false" outlineLevel="0" collapsed="false">
      <c r="A10" s="3" t="s">
        <v>62</v>
      </c>
      <c r="B10" s="3" t="s">
        <v>49</v>
      </c>
      <c r="C10" s="3" t="s">
        <v>63</v>
      </c>
      <c r="D10" s="3" t="s">
        <v>64</v>
      </c>
      <c r="E10" s="3" t="s">
        <v>65</v>
      </c>
      <c r="F10" s="3" t="s">
        <v>46</v>
      </c>
      <c r="G10" s="3" t="s">
        <v>26</v>
      </c>
      <c r="H10" s="3" t="s">
        <v>66</v>
      </c>
      <c r="I10" s="3" t="s">
        <v>41</v>
      </c>
      <c r="J10" s="3" t="s">
        <v>56</v>
      </c>
      <c r="K10" s="3"/>
      <c r="L10" s="3" t="s">
        <v>67</v>
      </c>
    </row>
    <row r="11" customFormat="false" ht="23.85" hidden="false" customHeight="false" outlineLevel="0" collapsed="false">
      <c r="A11" s="3" t="s">
        <v>68</v>
      </c>
      <c r="B11" s="3" t="s">
        <v>49</v>
      </c>
      <c r="C11" s="3" t="s">
        <v>31</v>
      </c>
      <c r="D11" s="3" t="s">
        <v>69</v>
      </c>
      <c r="E11" s="3" t="s">
        <v>70</v>
      </c>
      <c r="F11" s="3" t="s">
        <v>46</v>
      </c>
      <c r="G11" s="3" t="s">
        <v>26</v>
      </c>
      <c r="H11" s="3" t="s">
        <v>46</v>
      </c>
      <c r="I11" s="3" t="s">
        <v>27</v>
      </c>
      <c r="J11" s="3" t="s">
        <v>56</v>
      </c>
      <c r="K11" s="3"/>
      <c r="L11" s="3" t="s">
        <v>71</v>
      </c>
    </row>
    <row r="12" customFormat="false" ht="23.85" hidden="false" customHeight="false" outlineLevel="0" collapsed="false">
      <c r="A12" s="3" t="s">
        <v>72</v>
      </c>
      <c r="B12" s="3" t="s">
        <v>49</v>
      </c>
      <c r="C12" s="3" t="s">
        <v>73</v>
      </c>
      <c r="D12" s="3" t="s">
        <v>74</v>
      </c>
      <c r="E12" s="3" t="s">
        <v>75</v>
      </c>
      <c r="F12" s="3" t="s">
        <v>46</v>
      </c>
      <c r="G12" s="3" t="s">
        <v>40</v>
      </c>
      <c r="H12" s="3" t="s">
        <v>46</v>
      </c>
      <c r="I12" s="3" t="s">
        <v>27</v>
      </c>
      <c r="J12" s="3" t="s">
        <v>56</v>
      </c>
      <c r="K12" s="3"/>
      <c r="L12" s="3" t="s">
        <v>76</v>
      </c>
    </row>
    <row r="13" customFormat="false" ht="23.85" hidden="false" customHeight="false" outlineLevel="0" collapsed="false">
      <c r="A13" s="3" t="s">
        <v>77</v>
      </c>
      <c r="B13" s="3" t="s">
        <v>13</v>
      </c>
      <c r="C13" s="3" t="s">
        <v>63</v>
      </c>
      <c r="D13" s="3" t="s">
        <v>78</v>
      </c>
      <c r="E13" s="3" t="s">
        <v>79</v>
      </c>
      <c r="F13" s="3" t="s">
        <v>46</v>
      </c>
      <c r="G13" s="3" t="s">
        <v>40</v>
      </c>
      <c r="H13" s="3" t="s">
        <v>66</v>
      </c>
      <c r="I13" s="3" t="s">
        <v>27</v>
      </c>
      <c r="J13" s="3" t="s">
        <v>56</v>
      </c>
      <c r="K13" s="3"/>
      <c r="L13" s="3" t="s">
        <v>80</v>
      </c>
    </row>
    <row r="14" customFormat="false" ht="23.85" hidden="false" customHeight="false" outlineLevel="0" collapsed="false">
      <c r="A14" s="3" t="s">
        <v>81</v>
      </c>
      <c r="B14" s="3" t="s">
        <v>23</v>
      </c>
      <c r="C14" s="3" t="s">
        <v>31</v>
      </c>
      <c r="D14" s="3" t="s">
        <v>82</v>
      </c>
      <c r="E14" s="3" t="s">
        <v>83</v>
      </c>
      <c r="F14" s="3" t="s">
        <v>46</v>
      </c>
      <c r="G14" s="3" t="s">
        <v>84</v>
      </c>
      <c r="H14" s="3" t="s">
        <v>66</v>
      </c>
      <c r="I14" s="3" t="s">
        <v>27</v>
      </c>
      <c r="J14" s="3" t="s">
        <v>56</v>
      </c>
      <c r="K14" s="3"/>
      <c r="L14" s="3" t="s">
        <v>85</v>
      </c>
    </row>
    <row r="15" customFormat="false" ht="15" hidden="false" customHeight="false" outlineLevel="0" collapsed="false">
      <c r="A15" s="4" t="s">
        <v>86</v>
      </c>
      <c r="B15" s="4" t="s">
        <v>49</v>
      </c>
      <c r="C15" s="4" t="s">
        <v>73</v>
      </c>
      <c r="D15" s="4" t="s">
        <v>87</v>
      </c>
      <c r="E15" s="4" t="s">
        <v>88</v>
      </c>
      <c r="F15" s="4" t="s">
        <v>66</v>
      </c>
      <c r="G15" s="4" t="s">
        <v>26</v>
      </c>
      <c r="H15" s="4" t="s">
        <v>89</v>
      </c>
      <c r="I15" s="4" t="s">
        <v>41</v>
      </c>
      <c r="J15" s="4" t="s">
        <v>90</v>
      </c>
      <c r="K15" s="4"/>
      <c r="L15" s="4" t="s">
        <v>91</v>
      </c>
    </row>
    <row r="16" customFormat="false" ht="23.85" hidden="false" customHeight="false" outlineLevel="0" collapsed="false">
      <c r="A16" s="4" t="s">
        <v>92</v>
      </c>
      <c r="B16" s="4" t="s">
        <v>49</v>
      </c>
      <c r="C16" s="4" t="s">
        <v>63</v>
      </c>
      <c r="D16" s="4" t="s">
        <v>93</v>
      </c>
      <c r="E16" s="4" t="s">
        <v>94</v>
      </c>
      <c r="F16" s="4" t="s">
        <v>66</v>
      </c>
      <c r="G16" s="4" t="s">
        <v>26</v>
      </c>
      <c r="H16" s="4" t="s">
        <v>89</v>
      </c>
      <c r="I16" s="4" t="s">
        <v>41</v>
      </c>
      <c r="J16" s="4" t="s">
        <v>90</v>
      </c>
      <c r="K16" s="4"/>
      <c r="L16" s="4" t="s">
        <v>95</v>
      </c>
    </row>
    <row r="17" customFormat="false" ht="23.85" hidden="false" customHeight="false" outlineLevel="0" collapsed="false">
      <c r="A17" s="4" t="s">
        <v>96</v>
      </c>
      <c r="B17" s="4" t="s">
        <v>23</v>
      </c>
      <c r="C17" s="4" t="s">
        <v>63</v>
      </c>
      <c r="D17" s="4" t="s">
        <v>97</v>
      </c>
      <c r="E17" s="4" t="s">
        <v>98</v>
      </c>
      <c r="F17" s="4" t="s">
        <v>66</v>
      </c>
      <c r="G17" s="4" t="s">
        <v>26</v>
      </c>
      <c r="H17" s="4" t="s">
        <v>66</v>
      </c>
      <c r="I17" s="4" t="s">
        <v>41</v>
      </c>
      <c r="J17" s="4" t="s">
        <v>90</v>
      </c>
      <c r="K17" s="4"/>
      <c r="L17" s="4" t="s">
        <v>99</v>
      </c>
    </row>
    <row r="18" customFormat="false" ht="23.85" hidden="false" customHeight="false" outlineLevel="0" collapsed="false">
      <c r="A18" s="4" t="s">
        <v>100</v>
      </c>
      <c r="B18" s="4" t="s">
        <v>49</v>
      </c>
      <c r="C18" s="4" t="s">
        <v>63</v>
      </c>
      <c r="D18" s="4" t="s">
        <v>101</v>
      </c>
      <c r="E18" s="4" t="s">
        <v>102</v>
      </c>
      <c r="F18" s="4" t="s">
        <v>66</v>
      </c>
      <c r="G18" s="4" t="s">
        <v>26</v>
      </c>
      <c r="H18" s="4" t="s">
        <v>89</v>
      </c>
      <c r="I18" s="4" t="s">
        <v>41</v>
      </c>
      <c r="J18" s="4" t="s">
        <v>90</v>
      </c>
      <c r="K18" s="4"/>
      <c r="L18" s="4" t="s">
        <v>103</v>
      </c>
    </row>
    <row r="19" customFormat="false" ht="23.85" hidden="false" customHeight="false" outlineLevel="0" collapsed="false">
      <c r="A19" s="4" t="s">
        <v>104</v>
      </c>
      <c r="B19" s="4" t="s">
        <v>49</v>
      </c>
      <c r="C19" s="4" t="s">
        <v>73</v>
      </c>
      <c r="D19" s="4" t="s">
        <v>105</v>
      </c>
      <c r="E19" s="4" t="s">
        <v>106</v>
      </c>
      <c r="F19" s="4" t="s">
        <v>66</v>
      </c>
      <c r="G19" s="4" t="s">
        <v>26</v>
      </c>
      <c r="H19" s="4" t="s">
        <v>89</v>
      </c>
      <c r="I19" s="4" t="s">
        <v>41</v>
      </c>
      <c r="J19" s="4" t="s">
        <v>90</v>
      </c>
      <c r="K19" s="4"/>
      <c r="L19" s="4" t="s">
        <v>107</v>
      </c>
    </row>
    <row r="20" customFormat="false" ht="23.85" hidden="false" customHeight="false" outlineLevel="0" collapsed="false">
      <c r="A20" s="4" t="s">
        <v>108</v>
      </c>
      <c r="B20" s="4" t="s">
        <v>23</v>
      </c>
      <c r="C20" s="4" t="s">
        <v>31</v>
      </c>
      <c r="D20" s="4" t="s">
        <v>109</v>
      </c>
      <c r="E20" s="4" t="s">
        <v>110</v>
      </c>
      <c r="F20" s="4" t="s">
        <v>66</v>
      </c>
      <c r="G20" s="4" t="s">
        <v>26</v>
      </c>
      <c r="H20" s="4" t="s">
        <v>66</v>
      </c>
      <c r="I20" s="4" t="s">
        <v>27</v>
      </c>
      <c r="J20" s="4" t="s">
        <v>90</v>
      </c>
      <c r="K20" s="4"/>
      <c r="L20" s="4" t="s">
        <v>111</v>
      </c>
    </row>
    <row r="21" customFormat="false" ht="23.85" hidden="false" customHeight="false" outlineLevel="0" collapsed="false">
      <c r="A21" s="4" t="s">
        <v>112</v>
      </c>
      <c r="B21" s="4" t="s">
        <v>49</v>
      </c>
      <c r="C21" s="4" t="s">
        <v>73</v>
      </c>
      <c r="D21" s="4" t="s">
        <v>113</v>
      </c>
      <c r="E21" s="4" t="s">
        <v>114</v>
      </c>
      <c r="F21" s="4" t="s">
        <v>66</v>
      </c>
      <c r="G21" s="4" t="s">
        <v>26</v>
      </c>
      <c r="H21" s="4" t="s">
        <v>66</v>
      </c>
      <c r="I21" s="4" t="s">
        <v>41</v>
      </c>
      <c r="J21" s="4" t="s">
        <v>90</v>
      </c>
      <c r="K21" s="4"/>
      <c r="L21" s="4" t="s">
        <v>115</v>
      </c>
    </row>
    <row r="22" customFormat="false" ht="23.85" hidden="false" customHeight="false" outlineLevel="0" collapsed="false">
      <c r="A22" s="4" t="s">
        <v>116</v>
      </c>
      <c r="B22" s="4" t="s">
        <v>49</v>
      </c>
      <c r="C22" s="4" t="s">
        <v>73</v>
      </c>
      <c r="D22" s="4" t="s">
        <v>117</v>
      </c>
      <c r="E22" s="4" t="s">
        <v>118</v>
      </c>
      <c r="F22" s="4" t="s">
        <v>66</v>
      </c>
      <c r="G22" s="4" t="s">
        <v>26</v>
      </c>
      <c r="H22" s="4" t="s">
        <v>66</v>
      </c>
      <c r="I22" s="4" t="s">
        <v>27</v>
      </c>
      <c r="J22" s="4" t="s">
        <v>90</v>
      </c>
      <c r="K22" s="4"/>
      <c r="L22" s="4" t="s">
        <v>119</v>
      </c>
    </row>
    <row r="23" customFormat="false" ht="23.85" hidden="false" customHeight="false" outlineLevel="0" collapsed="false">
      <c r="A23" s="5" t="s">
        <v>120</v>
      </c>
      <c r="B23" s="5" t="s">
        <v>23</v>
      </c>
      <c r="C23" s="5" t="s">
        <v>63</v>
      </c>
      <c r="D23" s="5" t="s">
        <v>121</v>
      </c>
      <c r="E23" s="5" t="s">
        <v>122</v>
      </c>
      <c r="F23" s="5" t="s">
        <v>89</v>
      </c>
      <c r="G23" s="5" t="s">
        <v>26</v>
      </c>
      <c r="H23" s="5" t="s">
        <v>89</v>
      </c>
      <c r="I23" s="5" t="s">
        <v>41</v>
      </c>
      <c r="J23" s="5" t="s">
        <v>123</v>
      </c>
      <c r="K23" s="5"/>
      <c r="L23" s="5" t="s">
        <v>124</v>
      </c>
    </row>
    <row r="24" customFormat="false" ht="23.85" hidden="false" customHeight="false" outlineLevel="0" collapsed="false">
      <c r="A24" s="5" t="s">
        <v>125</v>
      </c>
      <c r="B24" s="5" t="s">
        <v>13</v>
      </c>
      <c r="C24" s="5" t="s">
        <v>63</v>
      </c>
      <c r="D24" s="5" t="s">
        <v>126</v>
      </c>
      <c r="E24" s="5" t="s">
        <v>127</v>
      </c>
      <c r="F24" s="5" t="s">
        <v>89</v>
      </c>
      <c r="G24" s="5" t="s">
        <v>40</v>
      </c>
      <c r="H24" s="5" t="s">
        <v>89</v>
      </c>
      <c r="I24" s="5" t="s">
        <v>19</v>
      </c>
      <c r="J24" s="5" t="s">
        <v>123</v>
      </c>
      <c r="K24" s="5"/>
      <c r="L24" s="5" t="s">
        <v>128</v>
      </c>
    </row>
    <row r="25" customFormat="false" ht="23.85" hidden="false" customHeight="false" outlineLevel="0" collapsed="false">
      <c r="A25" s="5" t="s">
        <v>129</v>
      </c>
      <c r="B25" s="5" t="s">
        <v>23</v>
      </c>
      <c r="C25" s="5" t="s">
        <v>63</v>
      </c>
      <c r="D25" s="5" t="s">
        <v>130</v>
      </c>
      <c r="E25" s="5" t="s">
        <v>131</v>
      </c>
      <c r="F25" s="5" t="s">
        <v>89</v>
      </c>
      <c r="G25" s="5" t="s">
        <v>26</v>
      </c>
      <c r="H25" s="5" t="s">
        <v>89</v>
      </c>
      <c r="I25" s="5" t="s">
        <v>41</v>
      </c>
      <c r="J25" s="5" t="s">
        <v>123</v>
      </c>
      <c r="K25" s="5"/>
      <c r="L25" s="5" t="s">
        <v>132</v>
      </c>
    </row>
    <row r="26" customFormat="false" ht="23.85" hidden="false" customHeight="false" outlineLevel="0" collapsed="false">
      <c r="A26" s="5" t="s">
        <v>133</v>
      </c>
      <c r="B26" s="5" t="s">
        <v>13</v>
      </c>
      <c r="C26" s="5" t="s">
        <v>63</v>
      </c>
      <c r="D26" s="5" t="s">
        <v>134</v>
      </c>
      <c r="E26" s="5" t="s">
        <v>135</v>
      </c>
      <c r="F26" s="5" t="s">
        <v>89</v>
      </c>
      <c r="G26" s="5" t="s">
        <v>26</v>
      </c>
      <c r="H26" s="5" t="s">
        <v>89</v>
      </c>
      <c r="I26" s="5" t="s">
        <v>41</v>
      </c>
      <c r="J26" s="5" t="s">
        <v>123</v>
      </c>
      <c r="K26" s="5"/>
      <c r="L26" s="5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5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7" min="6" style="0" width="20"/>
    <col collapsed="false" customWidth="true" hidden="false" outlineLevel="0" max="9" min="8" style="0" width="30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6" t="s">
        <v>137</v>
      </c>
      <c r="B1" s="6" t="s">
        <v>138</v>
      </c>
      <c r="C1" s="6" t="s">
        <v>3</v>
      </c>
      <c r="D1" s="6" t="s">
        <v>9</v>
      </c>
      <c r="E1" s="6" t="s">
        <v>139</v>
      </c>
      <c r="F1" s="6" t="s">
        <v>140</v>
      </c>
      <c r="G1" s="6" t="s">
        <v>141</v>
      </c>
      <c r="H1" s="6" t="s">
        <v>142</v>
      </c>
      <c r="I1" s="6" t="s">
        <v>143</v>
      </c>
      <c r="J1" s="6" t="s">
        <v>10</v>
      </c>
    </row>
    <row r="2" customFormat="false" ht="22.35" hidden="false" customHeight="false" outlineLevel="0" collapsed="false">
      <c r="A2" s="7" t="s">
        <v>144</v>
      </c>
      <c r="B2" s="7" t="s">
        <v>23</v>
      </c>
      <c r="C2" s="7" t="s">
        <v>145</v>
      </c>
      <c r="D2" s="7" t="s">
        <v>20</v>
      </c>
      <c r="E2" s="7" t="s">
        <v>14</v>
      </c>
      <c r="F2" s="7" t="s">
        <v>146</v>
      </c>
      <c r="G2" s="7" t="s">
        <v>147</v>
      </c>
      <c r="H2" s="7" t="s">
        <v>148</v>
      </c>
      <c r="I2" s="7" t="s">
        <v>149</v>
      </c>
      <c r="J2" s="7"/>
    </row>
    <row r="3" customFormat="false" ht="22.35" hidden="false" customHeight="false" outlineLevel="0" collapsed="false">
      <c r="A3" s="7" t="s">
        <v>150</v>
      </c>
      <c r="B3" s="7" t="s">
        <v>23</v>
      </c>
      <c r="C3" s="7" t="s">
        <v>151</v>
      </c>
      <c r="D3" s="7" t="s">
        <v>20</v>
      </c>
      <c r="E3" s="7" t="s">
        <v>14</v>
      </c>
      <c r="F3" s="7" t="s">
        <v>152</v>
      </c>
      <c r="G3" s="7" t="s">
        <v>147</v>
      </c>
      <c r="H3" s="7" t="s">
        <v>153</v>
      </c>
      <c r="I3" s="7" t="s">
        <v>154</v>
      </c>
      <c r="J3" s="7"/>
    </row>
    <row r="4" customFormat="false" ht="15" hidden="false" customHeight="false" outlineLevel="0" collapsed="false">
      <c r="A4" s="7" t="s">
        <v>155</v>
      </c>
      <c r="B4" s="7" t="s">
        <v>23</v>
      </c>
      <c r="C4" s="7" t="s">
        <v>156</v>
      </c>
      <c r="D4" s="7" t="s">
        <v>20</v>
      </c>
      <c r="E4" s="7" t="s">
        <v>157</v>
      </c>
      <c r="F4" s="7" t="s">
        <v>158</v>
      </c>
      <c r="G4" s="7" t="s">
        <v>147</v>
      </c>
      <c r="H4" s="7" t="s">
        <v>159</v>
      </c>
      <c r="I4" s="7" t="s">
        <v>160</v>
      </c>
      <c r="J4" s="7"/>
    </row>
    <row r="5" customFormat="false" ht="22.35" hidden="false" customHeight="false" outlineLevel="0" collapsed="false">
      <c r="A5" s="7" t="s">
        <v>161</v>
      </c>
      <c r="B5" s="7" t="s">
        <v>23</v>
      </c>
      <c r="C5" s="7" t="s">
        <v>162</v>
      </c>
      <c r="D5" s="7" t="s">
        <v>20</v>
      </c>
      <c r="E5" s="7" t="s">
        <v>157</v>
      </c>
      <c r="F5" s="7" t="s">
        <v>158</v>
      </c>
      <c r="G5" s="7" t="s">
        <v>147</v>
      </c>
      <c r="H5" s="7" t="s">
        <v>163</v>
      </c>
      <c r="I5" s="7" t="s">
        <v>164</v>
      </c>
      <c r="J5" s="7"/>
    </row>
    <row r="6" customFormat="false" ht="22.35" hidden="false" customHeight="false" outlineLevel="0" collapsed="false">
      <c r="A6" s="7" t="s">
        <v>165</v>
      </c>
      <c r="B6" s="7" t="s">
        <v>23</v>
      </c>
      <c r="C6" s="7" t="s">
        <v>166</v>
      </c>
      <c r="D6" s="7" t="s">
        <v>20</v>
      </c>
      <c r="E6" s="7" t="s">
        <v>157</v>
      </c>
      <c r="F6" s="7" t="s">
        <v>158</v>
      </c>
      <c r="G6" s="7" t="s">
        <v>147</v>
      </c>
      <c r="H6" s="7" t="s">
        <v>167</v>
      </c>
      <c r="I6" s="7" t="s">
        <v>168</v>
      </c>
      <c r="J6" s="7"/>
    </row>
    <row r="7" customFormat="false" ht="22.35" hidden="false" customHeight="false" outlineLevel="0" collapsed="false">
      <c r="A7" s="7" t="s">
        <v>169</v>
      </c>
      <c r="B7" s="7" t="s">
        <v>23</v>
      </c>
      <c r="C7" s="7" t="s">
        <v>170</v>
      </c>
      <c r="D7" s="7" t="s">
        <v>20</v>
      </c>
      <c r="E7" s="7" t="s">
        <v>157</v>
      </c>
      <c r="F7" s="7" t="s">
        <v>171</v>
      </c>
      <c r="G7" s="7" t="s">
        <v>172</v>
      </c>
      <c r="H7" s="7" t="s">
        <v>173</v>
      </c>
      <c r="I7" s="7" t="s">
        <v>174</v>
      </c>
      <c r="J7" s="7"/>
    </row>
    <row r="8" customFormat="false" ht="22.35" hidden="false" customHeight="false" outlineLevel="0" collapsed="false">
      <c r="A8" s="7" t="s">
        <v>175</v>
      </c>
      <c r="B8" s="7" t="s">
        <v>23</v>
      </c>
      <c r="C8" s="7" t="s">
        <v>176</v>
      </c>
      <c r="D8" s="7" t="s">
        <v>20</v>
      </c>
      <c r="E8" s="7" t="s">
        <v>177</v>
      </c>
      <c r="F8" s="7" t="s">
        <v>171</v>
      </c>
      <c r="G8" s="7" t="s">
        <v>178</v>
      </c>
      <c r="H8" s="7" t="s">
        <v>173</v>
      </c>
      <c r="I8" s="7" t="s">
        <v>179</v>
      </c>
      <c r="J8" s="7"/>
    </row>
    <row r="9" customFormat="false" ht="22.35" hidden="false" customHeight="false" outlineLevel="0" collapsed="false">
      <c r="A9" s="7" t="s">
        <v>180</v>
      </c>
      <c r="B9" s="7" t="s">
        <v>23</v>
      </c>
      <c r="C9" s="7" t="s">
        <v>181</v>
      </c>
      <c r="D9" s="7" t="s">
        <v>20</v>
      </c>
      <c r="E9" s="7" t="s">
        <v>157</v>
      </c>
      <c r="F9" s="7" t="s">
        <v>182</v>
      </c>
      <c r="G9" s="7" t="s">
        <v>147</v>
      </c>
      <c r="H9" s="7" t="s">
        <v>183</v>
      </c>
      <c r="I9" s="7" t="s">
        <v>184</v>
      </c>
      <c r="J9" s="7"/>
    </row>
    <row r="10" customFormat="false" ht="22.35" hidden="false" customHeight="false" outlineLevel="0" collapsed="false">
      <c r="A10" s="7" t="s">
        <v>185</v>
      </c>
      <c r="B10" s="7" t="s">
        <v>23</v>
      </c>
      <c r="C10" s="7" t="s">
        <v>186</v>
      </c>
      <c r="D10" s="7" t="s">
        <v>56</v>
      </c>
      <c r="E10" s="7" t="s">
        <v>157</v>
      </c>
      <c r="F10" s="7" t="s">
        <v>182</v>
      </c>
      <c r="G10" s="7" t="s">
        <v>147</v>
      </c>
      <c r="H10" s="7" t="s">
        <v>187</v>
      </c>
      <c r="I10" s="7" t="s">
        <v>188</v>
      </c>
      <c r="J10" s="7"/>
    </row>
    <row r="11" customFormat="false" ht="22.35" hidden="false" customHeight="false" outlineLevel="0" collapsed="false">
      <c r="A11" s="7" t="s">
        <v>189</v>
      </c>
      <c r="B11" s="7" t="s">
        <v>23</v>
      </c>
      <c r="C11" s="7" t="s">
        <v>190</v>
      </c>
      <c r="D11" s="7" t="s">
        <v>20</v>
      </c>
      <c r="E11" s="7" t="s">
        <v>157</v>
      </c>
      <c r="F11" s="7" t="s">
        <v>191</v>
      </c>
      <c r="G11" s="7" t="s">
        <v>147</v>
      </c>
      <c r="H11" s="7" t="s">
        <v>192</v>
      </c>
      <c r="I11" s="7" t="s">
        <v>193</v>
      </c>
      <c r="J11" s="7"/>
    </row>
    <row r="12" customFormat="false" ht="22.35" hidden="false" customHeight="false" outlineLevel="0" collapsed="false">
      <c r="A12" s="7" t="s">
        <v>194</v>
      </c>
      <c r="B12" s="7" t="s">
        <v>23</v>
      </c>
      <c r="C12" s="7" t="s">
        <v>195</v>
      </c>
      <c r="D12" s="7" t="s">
        <v>20</v>
      </c>
      <c r="E12" s="7" t="s">
        <v>157</v>
      </c>
      <c r="F12" s="7" t="s">
        <v>191</v>
      </c>
      <c r="G12" s="7" t="s">
        <v>147</v>
      </c>
      <c r="H12" s="7" t="s">
        <v>196</v>
      </c>
      <c r="I12" s="7" t="s">
        <v>197</v>
      </c>
      <c r="J12" s="7"/>
    </row>
    <row r="13" customFormat="false" ht="22.35" hidden="false" customHeight="false" outlineLevel="0" collapsed="false">
      <c r="A13" s="7" t="s">
        <v>198</v>
      </c>
      <c r="B13" s="7" t="s">
        <v>23</v>
      </c>
      <c r="C13" s="7" t="s">
        <v>199</v>
      </c>
      <c r="D13" s="7" t="s">
        <v>20</v>
      </c>
      <c r="E13" s="7" t="s">
        <v>157</v>
      </c>
      <c r="F13" s="7" t="s">
        <v>200</v>
      </c>
      <c r="G13" s="7" t="s">
        <v>147</v>
      </c>
      <c r="H13" s="7" t="s">
        <v>201</v>
      </c>
      <c r="I13" s="7" t="s">
        <v>202</v>
      </c>
      <c r="J13" s="7"/>
    </row>
    <row r="14" customFormat="false" ht="22.35" hidden="false" customHeight="false" outlineLevel="0" collapsed="false">
      <c r="A14" s="7" t="s">
        <v>203</v>
      </c>
      <c r="B14" s="7" t="s">
        <v>23</v>
      </c>
      <c r="C14" s="7" t="s">
        <v>204</v>
      </c>
      <c r="D14" s="7" t="s">
        <v>20</v>
      </c>
      <c r="E14" s="7" t="s">
        <v>157</v>
      </c>
      <c r="F14" s="7" t="s">
        <v>205</v>
      </c>
      <c r="G14" s="7" t="s">
        <v>147</v>
      </c>
      <c r="H14" s="7" t="s">
        <v>206</v>
      </c>
      <c r="I14" s="7" t="s">
        <v>207</v>
      </c>
      <c r="J14" s="7"/>
    </row>
    <row r="15" customFormat="false" ht="22.35" hidden="false" customHeight="false" outlineLevel="0" collapsed="false">
      <c r="A15" s="7" t="s">
        <v>208</v>
      </c>
      <c r="B15" s="7" t="s">
        <v>23</v>
      </c>
      <c r="C15" s="7" t="s">
        <v>209</v>
      </c>
      <c r="D15" s="7" t="s">
        <v>20</v>
      </c>
      <c r="E15" s="7" t="s">
        <v>157</v>
      </c>
      <c r="F15" s="7" t="s">
        <v>210</v>
      </c>
      <c r="G15" s="7" t="s">
        <v>147</v>
      </c>
      <c r="H15" s="7" t="s">
        <v>211</v>
      </c>
      <c r="I15" s="7" t="s">
        <v>212</v>
      </c>
      <c r="J15" s="7"/>
    </row>
    <row r="16" customFormat="false" ht="22.35" hidden="false" customHeight="false" outlineLevel="0" collapsed="false">
      <c r="A16" s="7" t="s">
        <v>213</v>
      </c>
      <c r="B16" s="7" t="s">
        <v>23</v>
      </c>
      <c r="C16" s="7" t="s">
        <v>214</v>
      </c>
      <c r="D16" s="7" t="s">
        <v>20</v>
      </c>
      <c r="E16" s="7" t="s">
        <v>157</v>
      </c>
      <c r="F16" s="7" t="s">
        <v>215</v>
      </c>
      <c r="G16" s="7" t="s">
        <v>147</v>
      </c>
      <c r="H16" s="7" t="s">
        <v>216</v>
      </c>
      <c r="I16" s="7" t="s">
        <v>217</v>
      </c>
      <c r="J16" s="7"/>
    </row>
    <row r="17" customFormat="false" ht="22.35" hidden="false" customHeight="false" outlineLevel="0" collapsed="false">
      <c r="A17" s="7" t="s">
        <v>218</v>
      </c>
      <c r="B17" s="7" t="s">
        <v>23</v>
      </c>
      <c r="C17" s="7" t="s">
        <v>219</v>
      </c>
      <c r="D17" s="7" t="s">
        <v>56</v>
      </c>
      <c r="E17" s="7" t="s">
        <v>157</v>
      </c>
      <c r="F17" s="7" t="s">
        <v>220</v>
      </c>
      <c r="G17" s="7" t="s">
        <v>147</v>
      </c>
      <c r="H17" s="7" t="s">
        <v>221</v>
      </c>
      <c r="I17" s="7" t="s">
        <v>222</v>
      </c>
      <c r="J17" s="7"/>
    </row>
    <row r="18" customFormat="false" ht="22.35" hidden="false" customHeight="false" outlineLevel="0" collapsed="false">
      <c r="A18" s="7" t="s">
        <v>223</v>
      </c>
      <c r="B18" s="7" t="s">
        <v>23</v>
      </c>
      <c r="C18" s="7" t="s">
        <v>224</v>
      </c>
      <c r="D18" s="7" t="s">
        <v>56</v>
      </c>
      <c r="E18" s="7" t="s">
        <v>157</v>
      </c>
      <c r="F18" s="7" t="s">
        <v>225</v>
      </c>
      <c r="G18" s="7" t="s">
        <v>147</v>
      </c>
      <c r="H18" s="7" t="s">
        <v>226</v>
      </c>
      <c r="I18" s="7" t="s">
        <v>227</v>
      </c>
      <c r="J18" s="7"/>
    </row>
    <row r="19" customFormat="false" ht="22.35" hidden="false" customHeight="false" outlineLevel="0" collapsed="false">
      <c r="A19" s="7" t="s">
        <v>228</v>
      </c>
      <c r="B19" s="7" t="s">
        <v>23</v>
      </c>
      <c r="C19" s="7" t="s">
        <v>229</v>
      </c>
      <c r="D19" s="7" t="s">
        <v>56</v>
      </c>
      <c r="E19" s="7" t="s">
        <v>157</v>
      </c>
      <c r="F19" s="7" t="s">
        <v>147</v>
      </c>
      <c r="G19" s="7" t="s">
        <v>147</v>
      </c>
      <c r="H19" s="7" t="s">
        <v>230</v>
      </c>
      <c r="I19" s="7" t="s">
        <v>231</v>
      </c>
      <c r="J19" s="7"/>
    </row>
    <row r="20" customFormat="false" ht="22.35" hidden="false" customHeight="false" outlineLevel="0" collapsed="false">
      <c r="A20" s="7" t="s">
        <v>232</v>
      </c>
      <c r="B20" s="7" t="s">
        <v>23</v>
      </c>
      <c r="C20" s="7" t="s">
        <v>233</v>
      </c>
      <c r="D20" s="7" t="s">
        <v>90</v>
      </c>
      <c r="E20" s="7" t="s">
        <v>157</v>
      </c>
      <c r="F20" s="7" t="s">
        <v>234</v>
      </c>
      <c r="G20" s="7" t="s">
        <v>147</v>
      </c>
      <c r="H20" s="7" t="s">
        <v>235</v>
      </c>
      <c r="I20" s="7" t="s">
        <v>236</v>
      </c>
      <c r="J20" s="7"/>
    </row>
    <row r="21" customFormat="false" ht="22.35" hidden="false" customHeight="false" outlineLevel="0" collapsed="false">
      <c r="A21" s="7" t="s">
        <v>237</v>
      </c>
      <c r="B21" s="7" t="s">
        <v>23</v>
      </c>
      <c r="C21" s="7" t="s">
        <v>238</v>
      </c>
      <c r="D21" s="7" t="s">
        <v>90</v>
      </c>
      <c r="E21" s="7" t="s">
        <v>157</v>
      </c>
      <c r="F21" s="7" t="s">
        <v>239</v>
      </c>
      <c r="G21" s="7" t="s">
        <v>147</v>
      </c>
      <c r="H21" s="7" t="s">
        <v>240</v>
      </c>
      <c r="I21" s="7" t="s">
        <v>241</v>
      </c>
      <c r="J21" s="7"/>
    </row>
    <row r="22" customFormat="false" ht="22.35" hidden="false" customHeight="false" outlineLevel="0" collapsed="false">
      <c r="A22" s="7" t="s">
        <v>242</v>
      </c>
      <c r="B22" s="7" t="s">
        <v>49</v>
      </c>
      <c r="C22" s="7" t="s">
        <v>243</v>
      </c>
      <c r="D22" s="7" t="s">
        <v>20</v>
      </c>
      <c r="E22" s="7" t="s">
        <v>157</v>
      </c>
      <c r="F22" s="7" t="s">
        <v>244</v>
      </c>
      <c r="G22" s="7" t="s">
        <v>245</v>
      </c>
      <c r="H22" s="7" t="s">
        <v>246</v>
      </c>
      <c r="I22" s="7" t="s">
        <v>247</v>
      </c>
      <c r="J22" s="7"/>
    </row>
    <row r="23" customFormat="false" ht="22.35" hidden="false" customHeight="false" outlineLevel="0" collapsed="false">
      <c r="A23" s="7" t="s">
        <v>248</v>
      </c>
      <c r="B23" s="7" t="s">
        <v>49</v>
      </c>
      <c r="C23" s="7" t="s">
        <v>249</v>
      </c>
      <c r="D23" s="7" t="s">
        <v>20</v>
      </c>
      <c r="E23" s="7" t="s">
        <v>37</v>
      </c>
      <c r="F23" s="7" t="s">
        <v>250</v>
      </c>
      <c r="G23" s="7" t="s">
        <v>147</v>
      </c>
      <c r="H23" s="7" t="s">
        <v>251</v>
      </c>
      <c r="I23" s="7" t="s">
        <v>252</v>
      </c>
      <c r="J23" s="7"/>
    </row>
    <row r="24" customFormat="false" ht="32.8" hidden="false" customHeight="false" outlineLevel="0" collapsed="false">
      <c r="A24" s="7" t="s">
        <v>253</v>
      </c>
      <c r="B24" s="7" t="s">
        <v>49</v>
      </c>
      <c r="C24" s="7" t="s">
        <v>254</v>
      </c>
      <c r="D24" s="7" t="s">
        <v>20</v>
      </c>
      <c r="E24" s="7" t="s">
        <v>157</v>
      </c>
      <c r="F24" s="7" t="s">
        <v>255</v>
      </c>
      <c r="G24" s="7" t="s">
        <v>147</v>
      </c>
      <c r="H24" s="7" t="s">
        <v>256</v>
      </c>
      <c r="I24" s="7" t="s">
        <v>257</v>
      </c>
      <c r="J24" s="7"/>
    </row>
    <row r="25" customFormat="false" ht="22.35" hidden="false" customHeight="false" outlineLevel="0" collapsed="false">
      <c r="A25" s="7" t="s">
        <v>258</v>
      </c>
      <c r="B25" s="7" t="s">
        <v>49</v>
      </c>
      <c r="C25" s="7" t="s">
        <v>259</v>
      </c>
      <c r="D25" s="7" t="s">
        <v>20</v>
      </c>
      <c r="E25" s="7" t="s">
        <v>157</v>
      </c>
      <c r="F25" s="7" t="s">
        <v>255</v>
      </c>
      <c r="G25" s="7" t="s">
        <v>147</v>
      </c>
      <c r="H25" s="7" t="s">
        <v>260</v>
      </c>
      <c r="I25" s="7" t="s">
        <v>261</v>
      </c>
      <c r="J25" s="7"/>
    </row>
    <row r="26" customFormat="false" ht="22.35" hidden="false" customHeight="false" outlineLevel="0" collapsed="false">
      <c r="A26" s="7" t="s">
        <v>262</v>
      </c>
      <c r="B26" s="7" t="s">
        <v>49</v>
      </c>
      <c r="C26" s="7" t="s">
        <v>263</v>
      </c>
      <c r="D26" s="7" t="s">
        <v>20</v>
      </c>
      <c r="E26" s="7" t="s">
        <v>157</v>
      </c>
      <c r="F26" s="7" t="s">
        <v>255</v>
      </c>
      <c r="G26" s="7" t="s">
        <v>147</v>
      </c>
      <c r="H26" s="7" t="s">
        <v>264</v>
      </c>
      <c r="I26" s="7" t="s">
        <v>265</v>
      </c>
      <c r="J26" s="7"/>
    </row>
    <row r="27" customFormat="false" ht="22.35" hidden="false" customHeight="false" outlineLevel="0" collapsed="false">
      <c r="A27" s="7" t="s">
        <v>266</v>
      </c>
      <c r="B27" s="7" t="s">
        <v>49</v>
      </c>
      <c r="C27" s="7" t="s">
        <v>267</v>
      </c>
      <c r="D27" s="7" t="s">
        <v>56</v>
      </c>
      <c r="E27" s="7" t="s">
        <v>157</v>
      </c>
      <c r="F27" s="7" t="s">
        <v>268</v>
      </c>
      <c r="G27" s="7" t="s">
        <v>147</v>
      </c>
      <c r="H27" s="7" t="s">
        <v>269</v>
      </c>
      <c r="I27" s="7" t="s">
        <v>270</v>
      </c>
      <c r="J27" s="7"/>
    </row>
    <row r="28" customFormat="false" ht="22.35" hidden="false" customHeight="false" outlineLevel="0" collapsed="false">
      <c r="A28" s="7" t="s">
        <v>271</v>
      </c>
      <c r="B28" s="7" t="s">
        <v>49</v>
      </c>
      <c r="C28" s="7" t="s">
        <v>272</v>
      </c>
      <c r="D28" s="7" t="s">
        <v>20</v>
      </c>
      <c r="E28" s="7" t="s">
        <v>157</v>
      </c>
      <c r="F28" s="7" t="s">
        <v>255</v>
      </c>
      <c r="G28" s="7" t="s">
        <v>147</v>
      </c>
      <c r="H28" s="7" t="s">
        <v>273</v>
      </c>
      <c r="I28" s="7" t="s">
        <v>274</v>
      </c>
      <c r="J28" s="7"/>
    </row>
    <row r="29" customFormat="false" ht="15" hidden="false" customHeight="false" outlineLevel="0" collapsed="false">
      <c r="A29" s="7" t="s">
        <v>275</v>
      </c>
      <c r="B29" s="7" t="s">
        <v>49</v>
      </c>
      <c r="C29" s="7" t="s">
        <v>276</v>
      </c>
      <c r="D29" s="7" t="s">
        <v>20</v>
      </c>
      <c r="E29" s="7" t="s">
        <v>157</v>
      </c>
      <c r="F29" s="7" t="s">
        <v>255</v>
      </c>
      <c r="G29" s="7" t="s">
        <v>147</v>
      </c>
      <c r="H29" s="7" t="s">
        <v>277</v>
      </c>
      <c r="I29" s="7" t="s">
        <v>278</v>
      </c>
      <c r="J29" s="7"/>
    </row>
    <row r="30" customFormat="false" ht="22.35" hidden="false" customHeight="false" outlineLevel="0" collapsed="false">
      <c r="A30" s="7" t="s">
        <v>279</v>
      </c>
      <c r="B30" s="7" t="s">
        <v>49</v>
      </c>
      <c r="C30" s="7" t="s">
        <v>280</v>
      </c>
      <c r="D30" s="7" t="s">
        <v>20</v>
      </c>
      <c r="E30" s="7" t="s">
        <v>157</v>
      </c>
      <c r="F30" s="7" t="s">
        <v>255</v>
      </c>
      <c r="G30" s="7" t="s">
        <v>147</v>
      </c>
      <c r="H30" s="7" t="s">
        <v>281</v>
      </c>
      <c r="I30" s="7" t="s">
        <v>282</v>
      </c>
      <c r="J30" s="7"/>
    </row>
    <row r="31" customFormat="false" ht="22.35" hidden="false" customHeight="false" outlineLevel="0" collapsed="false">
      <c r="A31" s="7" t="s">
        <v>283</v>
      </c>
      <c r="B31" s="7" t="s">
        <v>49</v>
      </c>
      <c r="C31" s="7" t="s">
        <v>284</v>
      </c>
      <c r="D31" s="7" t="s">
        <v>20</v>
      </c>
      <c r="E31" s="7" t="s">
        <v>157</v>
      </c>
      <c r="F31" s="7" t="s">
        <v>255</v>
      </c>
      <c r="G31" s="7" t="s">
        <v>147</v>
      </c>
      <c r="H31" s="7" t="s">
        <v>285</v>
      </c>
      <c r="I31" s="7" t="s">
        <v>286</v>
      </c>
      <c r="J31" s="7"/>
    </row>
    <row r="32" customFormat="false" ht="22.35" hidden="false" customHeight="false" outlineLevel="0" collapsed="false">
      <c r="A32" s="7" t="s">
        <v>287</v>
      </c>
      <c r="B32" s="7" t="s">
        <v>49</v>
      </c>
      <c r="C32" s="7" t="s">
        <v>288</v>
      </c>
      <c r="D32" s="7" t="s">
        <v>56</v>
      </c>
      <c r="E32" s="7" t="s">
        <v>157</v>
      </c>
      <c r="F32" s="7" t="s">
        <v>289</v>
      </c>
      <c r="G32" s="7" t="s">
        <v>147</v>
      </c>
      <c r="H32" s="7" t="s">
        <v>290</v>
      </c>
      <c r="I32" s="7" t="s">
        <v>291</v>
      </c>
      <c r="J32" s="7"/>
    </row>
    <row r="33" customFormat="false" ht="22.35" hidden="false" customHeight="false" outlineLevel="0" collapsed="false">
      <c r="A33" s="7" t="s">
        <v>292</v>
      </c>
      <c r="B33" s="7" t="s">
        <v>49</v>
      </c>
      <c r="C33" s="7" t="s">
        <v>293</v>
      </c>
      <c r="D33" s="7" t="s">
        <v>20</v>
      </c>
      <c r="E33" s="7" t="s">
        <v>157</v>
      </c>
      <c r="F33" s="7" t="s">
        <v>294</v>
      </c>
      <c r="G33" s="7" t="s">
        <v>147</v>
      </c>
      <c r="H33" s="7" t="s">
        <v>295</v>
      </c>
      <c r="I33" s="7" t="s">
        <v>296</v>
      </c>
      <c r="J33" s="7"/>
    </row>
    <row r="34" customFormat="false" ht="22.35" hidden="false" customHeight="false" outlineLevel="0" collapsed="false">
      <c r="A34" s="7" t="s">
        <v>297</v>
      </c>
      <c r="B34" s="7" t="s">
        <v>49</v>
      </c>
      <c r="C34" s="7" t="s">
        <v>298</v>
      </c>
      <c r="D34" s="7" t="s">
        <v>20</v>
      </c>
      <c r="E34" s="7" t="s">
        <v>157</v>
      </c>
      <c r="F34" s="7" t="s">
        <v>294</v>
      </c>
      <c r="G34" s="7" t="s">
        <v>147</v>
      </c>
      <c r="H34" s="7" t="s">
        <v>299</v>
      </c>
      <c r="I34" s="7" t="s">
        <v>300</v>
      </c>
      <c r="J34" s="7"/>
    </row>
    <row r="35" customFormat="false" ht="32.8" hidden="false" customHeight="false" outlineLevel="0" collapsed="false">
      <c r="A35" s="7" t="s">
        <v>301</v>
      </c>
      <c r="B35" s="7" t="s">
        <v>49</v>
      </c>
      <c r="C35" s="7" t="s">
        <v>302</v>
      </c>
      <c r="D35" s="7" t="s">
        <v>20</v>
      </c>
      <c r="E35" s="7" t="s">
        <v>157</v>
      </c>
      <c r="F35" s="7" t="s">
        <v>303</v>
      </c>
      <c r="G35" s="7" t="s">
        <v>304</v>
      </c>
      <c r="H35" s="7" t="s">
        <v>305</v>
      </c>
      <c r="I35" s="7" t="s">
        <v>306</v>
      </c>
      <c r="J35" s="7"/>
    </row>
    <row r="36" customFormat="false" ht="22.35" hidden="false" customHeight="false" outlineLevel="0" collapsed="false">
      <c r="A36" s="7" t="s">
        <v>307</v>
      </c>
      <c r="B36" s="7" t="s">
        <v>49</v>
      </c>
      <c r="C36" s="7" t="s">
        <v>308</v>
      </c>
      <c r="D36" s="7" t="s">
        <v>56</v>
      </c>
      <c r="E36" s="7" t="s">
        <v>157</v>
      </c>
      <c r="F36" s="7" t="s">
        <v>309</v>
      </c>
      <c r="G36" s="7" t="s">
        <v>147</v>
      </c>
      <c r="H36" s="7" t="s">
        <v>310</v>
      </c>
      <c r="I36" s="7" t="s">
        <v>311</v>
      </c>
      <c r="J36" s="7"/>
    </row>
    <row r="37" customFormat="false" ht="22.35" hidden="false" customHeight="false" outlineLevel="0" collapsed="false">
      <c r="A37" s="7" t="s">
        <v>312</v>
      </c>
      <c r="B37" s="7" t="s">
        <v>49</v>
      </c>
      <c r="C37" s="7" t="s">
        <v>313</v>
      </c>
      <c r="D37" s="7" t="s">
        <v>56</v>
      </c>
      <c r="E37" s="7" t="s">
        <v>157</v>
      </c>
      <c r="F37" s="7" t="s">
        <v>309</v>
      </c>
      <c r="G37" s="7" t="s">
        <v>147</v>
      </c>
      <c r="H37" s="7" t="s">
        <v>314</v>
      </c>
      <c r="I37" s="7" t="s">
        <v>315</v>
      </c>
      <c r="J37" s="7"/>
    </row>
    <row r="38" customFormat="false" ht="22.35" hidden="false" customHeight="false" outlineLevel="0" collapsed="false">
      <c r="A38" s="7" t="s">
        <v>316</v>
      </c>
      <c r="B38" s="7" t="s">
        <v>49</v>
      </c>
      <c r="C38" s="7" t="s">
        <v>317</v>
      </c>
      <c r="D38" s="7" t="s">
        <v>20</v>
      </c>
      <c r="E38" s="7" t="s">
        <v>157</v>
      </c>
      <c r="F38" s="7" t="s">
        <v>318</v>
      </c>
      <c r="G38" s="7" t="s">
        <v>147</v>
      </c>
      <c r="H38" s="7" t="s">
        <v>319</v>
      </c>
      <c r="I38" s="7" t="s">
        <v>320</v>
      </c>
      <c r="J38" s="7"/>
    </row>
    <row r="39" customFormat="false" ht="22.35" hidden="false" customHeight="false" outlineLevel="0" collapsed="false">
      <c r="A39" s="7" t="s">
        <v>321</v>
      </c>
      <c r="B39" s="7" t="s">
        <v>49</v>
      </c>
      <c r="C39" s="7" t="s">
        <v>322</v>
      </c>
      <c r="D39" s="7" t="s">
        <v>56</v>
      </c>
      <c r="E39" s="7" t="s">
        <v>157</v>
      </c>
      <c r="F39" s="7" t="s">
        <v>318</v>
      </c>
      <c r="G39" s="7" t="s">
        <v>147</v>
      </c>
      <c r="H39" s="7" t="s">
        <v>323</v>
      </c>
      <c r="I39" s="7" t="s">
        <v>324</v>
      </c>
      <c r="J39" s="7"/>
    </row>
    <row r="40" customFormat="false" ht="32.8" hidden="false" customHeight="false" outlineLevel="0" collapsed="false">
      <c r="A40" s="7" t="s">
        <v>325</v>
      </c>
      <c r="B40" s="7" t="s">
        <v>49</v>
      </c>
      <c r="C40" s="7" t="s">
        <v>326</v>
      </c>
      <c r="D40" s="7" t="s">
        <v>56</v>
      </c>
      <c r="E40" s="7" t="s">
        <v>157</v>
      </c>
      <c r="F40" s="7" t="s">
        <v>318</v>
      </c>
      <c r="G40" s="7" t="s">
        <v>327</v>
      </c>
      <c r="H40" s="7" t="s">
        <v>328</v>
      </c>
      <c r="I40" s="7" t="s">
        <v>329</v>
      </c>
      <c r="J40" s="7"/>
    </row>
    <row r="41" customFormat="false" ht="22.35" hidden="false" customHeight="false" outlineLevel="0" collapsed="false">
      <c r="A41" s="7" t="s">
        <v>330</v>
      </c>
      <c r="B41" s="7" t="s">
        <v>49</v>
      </c>
      <c r="C41" s="7" t="s">
        <v>331</v>
      </c>
      <c r="D41" s="7" t="s">
        <v>56</v>
      </c>
      <c r="E41" s="7" t="s">
        <v>157</v>
      </c>
      <c r="F41" s="7" t="s">
        <v>332</v>
      </c>
      <c r="G41" s="7" t="s">
        <v>333</v>
      </c>
      <c r="H41" s="7" t="s">
        <v>334</v>
      </c>
      <c r="I41" s="7" t="s">
        <v>335</v>
      </c>
      <c r="J41" s="7"/>
    </row>
    <row r="42" customFormat="false" ht="22.35" hidden="false" customHeight="false" outlineLevel="0" collapsed="false">
      <c r="A42" s="7" t="s">
        <v>336</v>
      </c>
      <c r="B42" s="7" t="s">
        <v>49</v>
      </c>
      <c r="C42" s="7" t="s">
        <v>337</v>
      </c>
      <c r="D42" s="7" t="s">
        <v>56</v>
      </c>
      <c r="E42" s="7" t="s">
        <v>157</v>
      </c>
      <c r="F42" s="7" t="s">
        <v>332</v>
      </c>
      <c r="G42" s="7" t="s">
        <v>147</v>
      </c>
      <c r="H42" s="7" t="s">
        <v>338</v>
      </c>
      <c r="I42" s="7" t="s">
        <v>339</v>
      </c>
      <c r="J42" s="7"/>
    </row>
    <row r="43" customFormat="false" ht="22.35" hidden="false" customHeight="false" outlineLevel="0" collapsed="false">
      <c r="A43" s="7" t="s">
        <v>340</v>
      </c>
      <c r="B43" s="7" t="s">
        <v>49</v>
      </c>
      <c r="C43" s="7" t="s">
        <v>341</v>
      </c>
      <c r="D43" s="7" t="s">
        <v>90</v>
      </c>
      <c r="E43" s="7" t="s">
        <v>157</v>
      </c>
      <c r="F43" s="7" t="s">
        <v>332</v>
      </c>
      <c r="G43" s="7" t="s">
        <v>147</v>
      </c>
      <c r="H43" s="7" t="s">
        <v>342</v>
      </c>
      <c r="I43" s="7" t="s">
        <v>343</v>
      </c>
      <c r="J43" s="7"/>
    </row>
    <row r="44" customFormat="false" ht="22.35" hidden="false" customHeight="false" outlineLevel="0" collapsed="false">
      <c r="A44" s="7" t="s">
        <v>344</v>
      </c>
      <c r="B44" s="7" t="s">
        <v>49</v>
      </c>
      <c r="C44" s="7" t="s">
        <v>345</v>
      </c>
      <c r="D44" s="7" t="s">
        <v>20</v>
      </c>
      <c r="E44" s="7" t="s">
        <v>14</v>
      </c>
      <c r="F44" s="7" t="s">
        <v>346</v>
      </c>
      <c r="G44" s="7" t="s">
        <v>147</v>
      </c>
      <c r="H44" s="7" t="s">
        <v>347</v>
      </c>
      <c r="I44" s="7" t="s">
        <v>149</v>
      </c>
      <c r="J44" s="7"/>
    </row>
    <row r="45" customFormat="false" ht="22.35" hidden="false" customHeight="false" outlineLevel="0" collapsed="false">
      <c r="A45" s="7" t="s">
        <v>348</v>
      </c>
      <c r="B45" s="7" t="s">
        <v>49</v>
      </c>
      <c r="C45" s="7" t="s">
        <v>349</v>
      </c>
      <c r="D45" s="7" t="s">
        <v>56</v>
      </c>
      <c r="E45" s="7" t="s">
        <v>157</v>
      </c>
      <c r="F45" s="7" t="s">
        <v>289</v>
      </c>
      <c r="G45" s="7" t="s">
        <v>147</v>
      </c>
      <c r="H45" s="7" t="s">
        <v>350</v>
      </c>
      <c r="I45" s="7" t="s">
        <v>351</v>
      </c>
      <c r="J45" s="7"/>
    </row>
    <row r="46" customFormat="false" ht="22.35" hidden="false" customHeight="false" outlineLevel="0" collapsed="false">
      <c r="A46" s="7" t="s">
        <v>352</v>
      </c>
      <c r="B46" s="7" t="s">
        <v>49</v>
      </c>
      <c r="C46" s="7" t="s">
        <v>353</v>
      </c>
      <c r="D46" s="7" t="s">
        <v>56</v>
      </c>
      <c r="E46" s="7" t="s">
        <v>157</v>
      </c>
      <c r="F46" s="7" t="s">
        <v>289</v>
      </c>
      <c r="G46" s="7" t="s">
        <v>147</v>
      </c>
      <c r="H46" s="7" t="s">
        <v>354</v>
      </c>
      <c r="I46" s="7" t="s">
        <v>355</v>
      </c>
      <c r="J46" s="7"/>
    </row>
    <row r="47" customFormat="false" ht="22.35" hidden="false" customHeight="false" outlineLevel="0" collapsed="false">
      <c r="A47" s="7" t="s">
        <v>356</v>
      </c>
      <c r="B47" s="7" t="s">
        <v>49</v>
      </c>
      <c r="C47" s="7" t="s">
        <v>357</v>
      </c>
      <c r="D47" s="7" t="s">
        <v>56</v>
      </c>
      <c r="E47" s="7" t="s">
        <v>37</v>
      </c>
      <c r="F47" s="7" t="s">
        <v>358</v>
      </c>
      <c r="G47" s="7" t="s">
        <v>359</v>
      </c>
      <c r="H47" s="7" t="s">
        <v>360</v>
      </c>
      <c r="I47" s="7" t="s">
        <v>361</v>
      </c>
      <c r="J47" s="7"/>
    </row>
    <row r="48" customFormat="false" ht="22.35" hidden="false" customHeight="false" outlineLevel="0" collapsed="false">
      <c r="A48" s="7" t="s">
        <v>362</v>
      </c>
      <c r="B48" s="7" t="s">
        <v>49</v>
      </c>
      <c r="C48" s="7" t="s">
        <v>363</v>
      </c>
      <c r="D48" s="7" t="s">
        <v>56</v>
      </c>
      <c r="E48" s="7" t="s">
        <v>37</v>
      </c>
      <c r="F48" s="7" t="s">
        <v>364</v>
      </c>
      <c r="G48" s="7" t="s">
        <v>365</v>
      </c>
      <c r="H48" s="7" t="s">
        <v>366</v>
      </c>
      <c r="I48" s="7" t="s">
        <v>367</v>
      </c>
      <c r="J48" s="7"/>
    </row>
    <row r="49" customFormat="false" ht="15" hidden="false" customHeight="false" outlineLevel="0" collapsed="false">
      <c r="A49" s="7" t="s">
        <v>368</v>
      </c>
      <c r="B49" s="7" t="s">
        <v>49</v>
      </c>
      <c r="C49" s="7" t="s">
        <v>369</v>
      </c>
      <c r="D49" s="7" t="s">
        <v>20</v>
      </c>
      <c r="E49" s="7" t="s">
        <v>157</v>
      </c>
      <c r="F49" s="7" t="s">
        <v>370</v>
      </c>
      <c r="G49" s="7" t="s">
        <v>147</v>
      </c>
      <c r="H49" s="7" t="s">
        <v>371</v>
      </c>
      <c r="I49" s="7" t="s">
        <v>372</v>
      </c>
      <c r="J49" s="7"/>
    </row>
    <row r="50" customFormat="false" ht="22.35" hidden="false" customHeight="false" outlineLevel="0" collapsed="false">
      <c r="A50" s="7" t="s">
        <v>373</v>
      </c>
      <c r="B50" s="7" t="s">
        <v>49</v>
      </c>
      <c r="C50" s="7" t="s">
        <v>374</v>
      </c>
      <c r="D50" s="7" t="s">
        <v>90</v>
      </c>
      <c r="E50" s="7" t="s">
        <v>157</v>
      </c>
      <c r="F50" s="7" t="s">
        <v>255</v>
      </c>
      <c r="G50" s="7" t="s">
        <v>147</v>
      </c>
      <c r="H50" s="7" t="s">
        <v>375</v>
      </c>
      <c r="I50" s="7" t="s">
        <v>376</v>
      </c>
      <c r="J50" s="7"/>
    </row>
    <row r="51" customFormat="false" ht="22.35" hidden="false" customHeight="false" outlineLevel="0" collapsed="false">
      <c r="A51" s="7" t="s">
        <v>377</v>
      </c>
      <c r="B51" s="7" t="s">
        <v>49</v>
      </c>
      <c r="C51" s="7" t="s">
        <v>378</v>
      </c>
      <c r="D51" s="7" t="s">
        <v>56</v>
      </c>
      <c r="E51" s="7" t="s">
        <v>157</v>
      </c>
      <c r="F51" s="7" t="s">
        <v>379</v>
      </c>
      <c r="G51" s="7" t="s">
        <v>147</v>
      </c>
      <c r="H51" s="7" t="s">
        <v>380</v>
      </c>
      <c r="I51" s="7" t="s">
        <v>381</v>
      </c>
      <c r="J51" s="7"/>
    </row>
    <row r="52" customFormat="false" ht="22.35" hidden="false" customHeight="false" outlineLevel="0" collapsed="false">
      <c r="A52" s="7" t="s">
        <v>382</v>
      </c>
      <c r="B52" s="7" t="s">
        <v>30</v>
      </c>
      <c r="C52" s="7" t="s">
        <v>383</v>
      </c>
      <c r="D52" s="7" t="s">
        <v>20</v>
      </c>
      <c r="E52" s="7" t="s">
        <v>157</v>
      </c>
      <c r="F52" s="7" t="s">
        <v>147</v>
      </c>
      <c r="G52" s="7" t="s">
        <v>147</v>
      </c>
      <c r="H52" s="7" t="s">
        <v>384</v>
      </c>
      <c r="I52" s="7" t="s">
        <v>385</v>
      </c>
      <c r="J52" s="7"/>
    </row>
    <row r="53" customFormat="false" ht="22.35" hidden="false" customHeight="false" outlineLevel="0" collapsed="false">
      <c r="A53" s="7" t="s">
        <v>386</v>
      </c>
      <c r="B53" s="7" t="s">
        <v>30</v>
      </c>
      <c r="C53" s="7" t="s">
        <v>387</v>
      </c>
      <c r="D53" s="7" t="s">
        <v>20</v>
      </c>
      <c r="E53" s="7" t="s">
        <v>37</v>
      </c>
      <c r="F53" s="7" t="s">
        <v>250</v>
      </c>
      <c r="G53" s="7" t="s">
        <v>147</v>
      </c>
      <c r="H53" s="7" t="s">
        <v>388</v>
      </c>
      <c r="I53" s="7" t="s">
        <v>389</v>
      </c>
      <c r="J53" s="7"/>
    </row>
    <row r="54" customFormat="false" ht="22.35" hidden="false" customHeight="false" outlineLevel="0" collapsed="false">
      <c r="A54" s="7" t="s">
        <v>390</v>
      </c>
      <c r="B54" s="7" t="s">
        <v>30</v>
      </c>
      <c r="C54" s="7" t="s">
        <v>391</v>
      </c>
      <c r="D54" s="7" t="s">
        <v>20</v>
      </c>
      <c r="E54" s="7" t="s">
        <v>157</v>
      </c>
      <c r="F54" s="7" t="s">
        <v>392</v>
      </c>
      <c r="G54" s="7" t="s">
        <v>147</v>
      </c>
      <c r="H54" s="7" t="s">
        <v>393</v>
      </c>
      <c r="I54" s="7" t="s">
        <v>394</v>
      </c>
      <c r="J54" s="7"/>
    </row>
    <row r="55" customFormat="false" ht="22.35" hidden="false" customHeight="false" outlineLevel="0" collapsed="false">
      <c r="A55" s="7" t="s">
        <v>395</v>
      </c>
      <c r="B55" s="7" t="s">
        <v>30</v>
      </c>
      <c r="C55" s="7" t="s">
        <v>396</v>
      </c>
      <c r="D55" s="7" t="s">
        <v>20</v>
      </c>
      <c r="E55" s="7" t="s">
        <v>157</v>
      </c>
      <c r="F55" s="7" t="s">
        <v>397</v>
      </c>
      <c r="G55" s="7" t="s">
        <v>398</v>
      </c>
      <c r="H55" s="7" t="s">
        <v>399</v>
      </c>
      <c r="I55" s="7" t="s">
        <v>400</v>
      </c>
      <c r="J55" s="7"/>
    </row>
    <row r="56" customFormat="false" ht="22.35" hidden="false" customHeight="false" outlineLevel="0" collapsed="false">
      <c r="A56" s="7" t="s">
        <v>401</v>
      </c>
      <c r="B56" s="7" t="s">
        <v>30</v>
      </c>
      <c r="C56" s="7" t="s">
        <v>402</v>
      </c>
      <c r="D56" s="7" t="s">
        <v>20</v>
      </c>
      <c r="E56" s="7" t="s">
        <v>157</v>
      </c>
      <c r="F56" s="7" t="s">
        <v>403</v>
      </c>
      <c r="G56" s="7" t="s">
        <v>404</v>
      </c>
      <c r="H56" s="7" t="s">
        <v>405</v>
      </c>
      <c r="I56" s="7" t="s">
        <v>406</v>
      </c>
      <c r="J56" s="7"/>
    </row>
    <row r="57" customFormat="false" ht="22.35" hidden="false" customHeight="false" outlineLevel="0" collapsed="false">
      <c r="A57" s="7" t="s">
        <v>407</v>
      </c>
      <c r="B57" s="7" t="s">
        <v>30</v>
      </c>
      <c r="C57" s="7" t="s">
        <v>408</v>
      </c>
      <c r="D57" s="7" t="s">
        <v>56</v>
      </c>
      <c r="E57" s="7" t="s">
        <v>157</v>
      </c>
      <c r="F57" s="7" t="s">
        <v>409</v>
      </c>
      <c r="G57" s="7" t="s">
        <v>147</v>
      </c>
      <c r="H57" s="7" t="s">
        <v>410</v>
      </c>
      <c r="I57" s="7" t="s">
        <v>411</v>
      </c>
      <c r="J57" s="7"/>
    </row>
    <row r="58" customFormat="false" ht="32.8" hidden="false" customHeight="false" outlineLevel="0" collapsed="false">
      <c r="A58" s="7" t="s">
        <v>412</v>
      </c>
      <c r="B58" s="7" t="s">
        <v>30</v>
      </c>
      <c r="C58" s="7" t="s">
        <v>413</v>
      </c>
      <c r="D58" s="7" t="s">
        <v>56</v>
      </c>
      <c r="E58" s="7" t="s">
        <v>177</v>
      </c>
      <c r="F58" s="7" t="s">
        <v>414</v>
      </c>
      <c r="G58" s="7" t="s">
        <v>415</v>
      </c>
      <c r="H58" s="7" t="s">
        <v>416</v>
      </c>
      <c r="I58" s="7" t="s">
        <v>417</v>
      </c>
      <c r="J58" s="7"/>
    </row>
    <row r="59" customFormat="false" ht="22.35" hidden="false" customHeight="false" outlineLevel="0" collapsed="false">
      <c r="A59" s="7" t="s">
        <v>418</v>
      </c>
      <c r="B59" s="7" t="s">
        <v>30</v>
      </c>
      <c r="C59" s="7" t="s">
        <v>419</v>
      </c>
      <c r="D59" s="7" t="s">
        <v>20</v>
      </c>
      <c r="E59" s="7" t="s">
        <v>157</v>
      </c>
      <c r="F59" s="7" t="s">
        <v>403</v>
      </c>
      <c r="G59" s="7" t="s">
        <v>147</v>
      </c>
      <c r="H59" s="7" t="s">
        <v>420</v>
      </c>
      <c r="I59" s="7" t="s">
        <v>421</v>
      </c>
      <c r="J59" s="7"/>
    </row>
    <row r="60" customFormat="false" ht="22.35" hidden="false" customHeight="false" outlineLevel="0" collapsed="false">
      <c r="A60" s="7" t="s">
        <v>422</v>
      </c>
      <c r="B60" s="7" t="s">
        <v>30</v>
      </c>
      <c r="C60" s="7" t="s">
        <v>423</v>
      </c>
      <c r="D60" s="7" t="s">
        <v>20</v>
      </c>
      <c r="E60" s="7" t="s">
        <v>14</v>
      </c>
      <c r="F60" s="7" t="s">
        <v>152</v>
      </c>
      <c r="G60" s="7" t="s">
        <v>147</v>
      </c>
      <c r="H60" s="7" t="s">
        <v>424</v>
      </c>
      <c r="I60" s="7" t="s">
        <v>149</v>
      </c>
      <c r="J60" s="7"/>
    </row>
    <row r="61" customFormat="false" ht="22.35" hidden="false" customHeight="false" outlineLevel="0" collapsed="false">
      <c r="A61" s="7" t="s">
        <v>425</v>
      </c>
      <c r="B61" s="7" t="s">
        <v>30</v>
      </c>
      <c r="C61" s="7" t="s">
        <v>426</v>
      </c>
      <c r="D61" s="7" t="s">
        <v>56</v>
      </c>
      <c r="E61" s="7" t="s">
        <v>157</v>
      </c>
      <c r="F61" s="7" t="s">
        <v>427</v>
      </c>
      <c r="G61" s="7" t="s">
        <v>147</v>
      </c>
      <c r="H61" s="7" t="s">
        <v>428</v>
      </c>
      <c r="I61" s="7" t="s">
        <v>429</v>
      </c>
      <c r="J61" s="7"/>
    </row>
    <row r="62" customFormat="false" ht="22.35" hidden="false" customHeight="false" outlineLevel="0" collapsed="false">
      <c r="A62" s="7" t="s">
        <v>430</v>
      </c>
      <c r="B62" s="7" t="s">
        <v>37</v>
      </c>
      <c r="C62" s="7" t="s">
        <v>431</v>
      </c>
      <c r="D62" s="7" t="s">
        <v>20</v>
      </c>
      <c r="E62" s="7" t="s">
        <v>37</v>
      </c>
      <c r="F62" s="7" t="s">
        <v>152</v>
      </c>
      <c r="G62" s="7" t="s">
        <v>147</v>
      </c>
      <c r="H62" s="7" t="s">
        <v>432</v>
      </c>
      <c r="I62" s="7" t="s">
        <v>433</v>
      </c>
      <c r="J62" s="7"/>
    </row>
    <row r="63" customFormat="false" ht="22.35" hidden="false" customHeight="false" outlineLevel="0" collapsed="false">
      <c r="A63" s="7" t="s">
        <v>434</v>
      </c>
      <c r="B63" s="7" t="s">
        <v>37</v>
      </c>
      <c r="C63" s="7" t="s">
        <v>435</v>
      </c>
      <c r="D63" s="7" t="s">
        <v>20</v>
      </c>
      <c r="E63" s="7" t="s">
        <v>37</v>
      </c>
      <c r="F63" s="7" t="s">
        <v>152</v>
      </c>
      <c r="G63" s="7" t="s">
        <v>147</v>
      </c>
      <c r="H63" s="7" t="s">
        <v>432</v>
      </c>
      <c r="I63" s="7" t="s">
        <v>436</v>
      </c>
      <c r="J63" s="7"/>
    </row>
    <row r="64" customFormat="false" ht="22.35" hidden="false" customHeight="false" outlineLevel="0" collapsed="false">
      <c r="A64" s="7" t="s">
        <v>437</v>
      </c>
      <c r="B64" s="7" t="s">
        <v>37</v>
      </c>
      <c r="C64" s="7" t="s">
        <v>438</v>
      </c>
      <c r="D64" s="7" t="s">
        <v>20</v>
      </c>
      <c r="E64" s="7" t="s">
        <v>37</v>
      </c>
      <c r="F64" s="7" t="s">
        <v>152</v>
      </c>
      <c r="G64" s="7" t="s">
        <v>147</v>
      </c>
      <c r="H64" s="7" t="s">
        <v>432</v>
      </c>
      <c r="I64" s="7" t="s">
        <v>439</v>
      </c>
      <c r="J64" s="7"/>
    </row>
    <row r="65" customFormat="false" ht="22.35" hidden="false" customHeight="false" outlineLevel="0" collapsed="false">
      <c r="A65" s="7" t="s">
        <v>440</v>
      </c>
      <c r="B65" s="7" t="s">
        <v>37</v>
      </c>
      <c r="C65" s="7" t="s">
        <v>441</v>
      </c>
      <c r="D65" s="7" t="s">
        <v>20</v>
      </c>
      <c r="E65" s="7" t="s">
        <v>37</v>
      </c>
      <c r="F65" s="7" t="s">
        <v>152</v>
      </c>
      <c r="G65" s="7" t="s">
        <v>147</v>
      </c>
      <c r="H65" s="7" t="s">
        <v>442</v>
      </c>
      <c r="I65" s="7" t="s">
        <v>443</v>
      </c>
      <c r="J65" s="7"/>
    </row>
    <row r="66" customFormat="false" ht="22.35" hidden="false" customHeight="false" outlineLevel="0" collapsed="false">
      <c r="A66" s="7" t="s">
        <v>444</v>
      </c>
      <c r="B66" s="7" t="s">
        <v>37</v>
      </c>
      <c r="C66" s="7" t="s">
        <v>445</v>
      </c>
      <c r="D66" s="7" t="s">
        <v>20</v>
      </c>
      <c r="E66" s="7" t="s">
        <v>37</v>
      </c>
      <c r="F66" s="7" t="s">
        <v>152</v>
      </c>
      <c r="G66" s="7" t="s">
        <v>147</v>
      </c>
      <c r="H66" s="7" t="s">
        <v>446</v>
      </c>
      <c r="I66" s="7" t="s">
        <v>447</v>
      </c>
      <c r="J66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24.75" hidden="false" customHeight="true" outlineLevel="0" collapsed="false">
      <c r="A1" s="8" t="s">
        <v>448</v>
      </c>
    </row>
    <row r="3" customFormat="false" ht="15" hidden="false" customHeight="false" outlineLevel="0" collapsed="false">
      <c r="A3" s="9" t="s">
        <v>449</v>
      </c>
      <c r="D3" s="9" t="s">
        <v>450</v>
      </c>
      <c r="G3" s="9" t="s">
        <v>451</v>
      </c>
    </row>
    <row r="4" customFormat="false" ht="15" hidden="false" customHeight="false" outlineLevel="0" collapsed="false">
      <c r="A4" s="10" t="s">
        <v>5</v>
      </c>
      <c r="B4" s="10" t="s">
        <v>452</v>
      </c>
      <c r="D4" s="10" t="s">
        <v>1</v>
      </c>
      <c r="E4" s="10" t="s">
        <v>452</v>
      </c>
      <c r="G4" s="10" t="s">
        <v>2</v>
      </c>
      <c r="H4" s="10" t="s">
        <v>452</v>
      </c>
    </row>
    <row r="5" customFormat="false" ht="15" hidden="false" customHeight="false" outlineLevel="0" collapsed="false">
      <c r="A5" s="11" t="s">
        <v>17</v>
      </c>
      <c r="B5" s="12" t="n">
        <f aca="false">COUNTIF('All Findings'!F:F,"Critical")</f>
        <v>6</v>
      </c>
      <c r="D5" s="11" t="s">
        <v>23</v>
      </c>
      <c r="E5" s="12" t="n">
        <f aca="false">COUNTIF('All Findings'!B:B,"Consumer")</f>
        <v>7</v>
      </c>
      <c r="G5" s="11" t="s">
        <v>14</v>
      </c>
      <c r="H5" s="12" t="n">
        <f aca="false">COUNTIF('All Findings'!C:C,"Performance")</f>
        <v>2</v>
      </c>
    </row>
    <row r="6" customFormat="false" ht="15" hidden="false" customHeight="false" outlineLevel="0" collapsed="false">
      <c r="A6" s="11" t="s">
        <v>46</v>
      </c>
      <c r="B6" s="12" t="n">
        <f aca="false">COUNTIF('All Findings'!F:F,"High")</f>
        <v>7</v>
      </c>
      <c r="D6" s="11" t="s">
        <v>49</v>
      </c>
      <c r="E6" s="12" t="n">
        <f aca="false">COUNTIF('All Findings'!B:B,"Admin")</f>
        <v>11</v>
      </c>
      <c r="G6" s="11" t="s">
        <v>37</v>
      </c>
      <c r="H6" s="12" t="n">
        <f aca="false">COUNTIF('All Findings'!C:C,"Security")</f>
        <v>3</v>
      </c>
    </row>
    <row r="7" customFormat="false" ht="15" hidden="false" customHeight="false" outlineLevel="0" collapsed="false">
      <c r="A7" s="11" t="s">
        <v>66</v>
      </c>
      <c r="B7" s="12" t="n">
        <f aca="false">COUNTIF('All Findings'!F:F,"Medium")</f>
        <v>8</v>
      </c>
      <c r="D7" s="11" t="s">
        <v>30</v>
      </c>
      <c r="E7" s="12" t="n">
        <f aca="false">COUNTIF('All Findings'!B:B,"POS")</f>
        <v>1</v>
      </c>
      <c r="G7" s="11" t="s">
        <v>31</v>
      </c>
      <c r="H7" s="12" t="n">
        <f aca="false">COUNTIF('All Findings'!C:C,"Functional")</f>
        <v>6</v>
      </c>
    </row>
    <row r="8" customFormat="false" ht="15" hidden="false" customHeight="false" outlineLevel="0" collapsed="false">
      <c r="A8" s="11" t="s">
        <v>89</v>
      </c>
      <c r="B8" s="12" t="n">
        <f aca="false">COUNTIF('All Findings'!F:F,"Low")</f>
        <v>4</v>
      </c>
      <c r="D8" s="11" t="s">
        <v>13</v>
      </c>
      <c r="E8" s="12" t="n">
        <f aca="false">COUNTIF('All Findings'!B:B,"All")</f>
        <v>6</v>
      </c>
      <c r="G8" s="11" t="s">
        <v>63</v>
      </c>
      <c r="H8" s="12" t="n">
        <f aca="false">COUNTIF('All Findings'!C:C,"UX")</f>
        <v>9</v>
      </c>
    </row>
    <row r="9" customFormat="false" ht="15" hidden="false" customHeight="false" outlineLevel="0" collapsed="false">
      <c r="G9" s="11" t="s">
        <v>73</v>
      </c>
      <c r="H9" s="12" t="n">
        <f aca="false">COUNTIF('All Findings'!C:C,"Data")</f>
        <v>5</v>
      </c>
    </row>
    <row r="11" customFormat="false" ht="15" hidden="false" customHeight="false" outlineLevel="0" collapsed="false">
      <c r="A11" s="9" t="s">
        <v>6</v>
      </c>
    </row>
    <row r="12" customFormat="false" ht="15" hidden="false" customHeight="false" outlineLevel="0" collapsed="false">
      <c r="A12" s="10" t="s">
        <v>10</v>
      </c>
      <c r="B12" s="10" t="s">
        <v>452</v>
      </c>
    </row>
    <row r="13" customFormat="false" ht="15" hidden="false" customHeight="false" outlineLevel="0" collapsed="false">
      <c r="A13" s="11" t="s">
        <v>26</v>
      </c>
      <c r="B13" s="12" t="n">
        <f aca="false">COUNTIF('All Findings'!G:G,"New")</f>
        <v>17</v>
      </c>
    </row>
    <row r="14" customFormat="false" ht="15" hidden="false" customHeight="false" outlineLevel="0" collapsed="false">
      <c r="A14" s="11" t="s">
        <v>40</v>
      </c>
      <c r="B14" s="12" t="n">
        <f aca="false">COUNTIF('All Findings'!G:G,"Open*")</f>
        <v>7</v>
      </c>
    </row>
    <row r="15" customFormat="false" ht="15" hidden="false" customHeight="false" outlineLevel="0" collapsed="false">
      <c r="A15" s="11" t="s">
        <v>84</v>
      </c>
      <c r="B15" s="12" t="n">
        <f aca="false">COUNTIF('All Findings'!G:G,"Partial*")</f>
        <v>1</v>
      </c>
    </row>
    <row r="17" customFormat="false" ht="15" hidden="false" customHeight="false" outlineLevel="0" collapsed="false">
      <c r="A17" s="13" t="s">
        <v>453</v>
      </c>
      <c r="B17" s="14" t="n">
        <f aca="false">COUNTA('All Findings'!A:A)-1</f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4" min="3" style="0" width="12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5" t="s">
        <v>0</v>
      </c>
      <c r="B1" s="15" t="s">
        <v>3</v>
      </c>
      <c r="C1" s="15" t="s">
        <v>5</v>
      </c>
      <c r="D1" s="15" t="s">
        <v>1</v>
      </c>
      <c r="E1" s="15" t="s">
        <v>11</v>
      </c>
    </row>
    <row r="2" customFormat="false" ht="22.35" hidden="false" customHeight="false" outlineLevel="0" collapsed="false">
      <c r="A2" s="16" t="s">
        <v>36</v>
      </c>
      <c r="B2" s="16" t="s">
        <v>454</v>
      </c>
      <c r="C2" s="16" t="s">
        <v>17</v>
      </c>
      <c r="D2" s="16" t="s">
        <v>13</v>
      </c>
      <c r="E2" s="16" t="s">
        <v>42</v>
      </c>
    </row>
    <row r="3" customFormat="false" ht="22.35" hidden="false" customHeight="false" outlineLevel="0" collapsed="false">
      <c r="A3" s="16" t="s">
        <v>43</v>
      </c>
      <c r="B3" s="16" t="s">
        <v>455</v>
      </c>
      <c r="C3" s="16" t="s">
        <v>17</v>
      </c>
      <c r="D3" s="16" t="s">
        <v>13</v>
      </c>
      <c r="E3" s="16" t="s">
        <v>47</v>
      </c>
    </row>
    <row r="4" customFormat="false" ht="22.35" hidden="false" customHeight="false" outlineLevel="0" collapsed="false">
      <c r="A4" s="17" t="s">
        <v>53</v>
      </c>
      <c r="B4" s="17" t="s">
        <v>456</v>
      </c>
      <c r="C4" s="17" t="s">
        <v>46</v>
      </c>
      <c r="D4" s="17" t="s">
        <v>23</v>
      </c>
      <c r="E4" s="17" t="s">
        <v>57</v>
      </c>
    </row>
    <row r="5" customFormat="false" ht="15" hidden="false" customHeight="false" outlineLevel="0" collapsed="false">
      <c r="A5" s="17" t="s">
        <v>62</v>
      </c>
      <c r="B5" s="17" t="s">
        <v>457</v>
      </c>
      <c r="C5" s="17" t="s">
        <v>46</v>
      </c>
      <c r="D5" s="17" t="s">
        <v>49</v>
      </c>
      <c r="E5" s="17" t="s">
        <v>67</v>
      </c>
    </row>
    <row r="6" customFormat="false" ht="15" hidden="false" customHeight="false" outlineLevel="0" collapsed="false">
      <c r="A6" s="18" t="s">
        <v>86</v>
      </c>
      <c r="B6" s="18" t="s">
        <v>458</v>
      </c>
      <c r="C6" s="18" t="s">
        <v>66</v>
      </c>
      <c r="D6" s="18" t="s">
        <v>49</v>
      </c>
      <c r="E6" s="18" t="s">
        <v>91</v>
      </c>
    </row>
    <row r="7" customFormat="false" ht="15" hidden="false" customHeight="false" outlineLevel="0" collapsed="false">
      <c r="A7" s="18" t="s">
        <v>92</v>
      </c>
      <c r="B7" s="18" t="s">
        <v>459</v>
      </c>
      <c r="C7" s="18" t="s">
        <v>66</v>
      </c>
      <c r="D7" s="18" t="s">
        <v>49</v>
      </c>
      <c r="E7" s="18" t="s">
        <v>95</v>
      </c>
    </row>
    <row r="8" customFormat="false" ht="22.35" hidden="false" customHeight="false" outlineLevel="0" collapsed="false">
      <c r="A8" s="18" t="s">
        <v>96</v>
      </c>
      <c r="B8" s="18" t="s">
        <v>460</v>
      </c>
      <c r="C8" s="18" t="s">
        <v>66</v>
      </c>
      <c r="D8" s="18" t="s">
        <v>23</v>
      </c>
      <c r="E8" s="18" t="s">
        <v>99</v>
      </c>
    </row>
    <row r="9" customFormat="false" ht="15" hidden="false" customHeight="false" outlineLevel="0" collapsed="false">
      <c r="A9" s="18" t="s">
        <v>100</v>
      </c>
      <c r="B9" s="18" t="s">
        <v>461</v>
      </c>
      <c r="C9" s="18" t="s">
        <v>66</v>
      </c>
      <c r="D9" s="18" t="s">
        <v>49</v>
      </c>
      <c r="E9" s="18" t="s">
        <v>103</v>
      </c>
    </row>
    <row r="10" customFormat="false" ht="15" hidden="false" customHeight="false" outlineLevel="0" collapsed="false">
      <c r="A10" s="18" t="s">
        <v>104</v>
      </c>
      <c r="B10" s="18" t="s">
        <v>462</v>
      </c>
      <c r="C10" s="18" t="s">
        <v>66</v>
      </c>
      <c r="D10" s="18" t="s">
        <v>49</v>
      </c>
      <c r="E10" s="18" t="s">
        <v>107</v>
      </c>
    </row>
    <row r="11" customFormat="false" ht="15" hidden="false" customHeight="false" outlineLevel="0" collapsed="false">
      <c r="A11" s="18" t="s">
        <v>112</v>
      </c>
      <c r="B11" s="18" t="s">
        <v>463</v>
      </c>
      <c r="C11" s="18" t="s">
        <v>66</v>
      </c>
      <c r="D11" s="18" t="s">
        <v>49</v>
      </c>
      <c r="E11" s="18" t="s">
        <v>115</v>
      </c>
    </row>
    <row r="12" customFormat="false" ht="22.35" hidden="false" customHeight="false" outlineLevel="0" collapsed="false">
      <c r="A12" s="19" t="s">
        <v>120</v>
      </c>
      <c r="B12" s="19" t="s">
        <v>464</v>
      </c>
      <c r="C12" s="19" t="s">
        <v>89</v>
      </c>
      <c r="D12" s="19" t="s">
        <v>23</v>
      </c>
      <c r="E12" s="19" t="s">
        <v>124</v>
      </c>
    </row>
    <row r="13" customFormat="false" ht="22.35" hidden="false" customHeight="false" outlineLevel="0" collapsed="false">
      <c r="A13" s="19" t="s">
        <v>129</v>
      </c>
      <c r="B13" s="19" t="s">
        <v>465</v>
      </c>
      <c r="C13" s="19" t="s">
        <v>89</v>
      </c>
      <c r="D13" s="19" t="s">
        <v>23</v>
      </c>
      <c r="E13" s="19" t="s">
        <v>132</v>
      </c>
    </row>
    <row r="14" customFormat="false" ht="22.35" hidden="false" customHeight="false" outlineLevel="0" collapsed="false">
      <c r="A14" s="19" t="s">
        <v>133</v>
      </c>
      <c r="B14" s="19" t="s">
        <v>466</v>
      </c>
      <c r="C14" s="19" t="s">
        <v>89</v>
      </c>
      <c r="D14" s="19" t="s">
        <v>13</v>
      </c>
      <c r="E14" s="19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2026-04-03T17:37:17Z</dcterms:created>
  <dc:creator>openpyxl</dc:creator>
  <dc:description/>
  <dc:language>en-US</dc:language>
  <cp:lastModifiedBy/>
  <dcterms:modified xsi:type="dcterms:W3CDTF">2026-04-03T17:37:17Z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